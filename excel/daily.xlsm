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4AB1A08D-107D-492B-A7D6-41C20B003624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6" l="1"/>
  <c r="S3" i="6" l="1"/>
  <c r="S1" i="6"/>
  <c r="O38" i="6"/>
  <c r="Q38" i="6"/>
  <c r="N2" i="6" l="1"/>
  <c r="E2" i="6"/>
  <c r="D2" i="6"/>
  <c r="B2" i="6"/>
  <c r="Q22" i="6"/>
  <c r="L24" i="6"/>
  <c r="I24" i="6"/>
  <c r="F24" i="6"/>
  <c r="C24" i="6"/>
  <c r="L23" i="6"/>
  <c r="I23" i="6"/>
  <c r="F23" i="6"/>
  <c r="C23" i="6"/>
  <c r="L22" i="6"/>
  <c r="I22" i="6"/>
  <c r="F22" i="6"/>
  <c r="C22" i="6"/>
  <c r="C19" i="6"/>
  <c r="F19" i="6"/>
  <c r="I19" i="6"/>
  <c r="L19" i="6"/>
  <c r="C20" i="6"/>
  <c r="F20" i="6"/>
  <c r="I20" i="6"/>
  <c r="L20" i="6"/>
  <c r="L36" i="6" l="1"/>
  <c r="I36" i="6"/>
  <c r="F36" i="6"/>
  <c r="C36" i="6"/>
  <c r="L35" i="6"/>
  <c r="I35" i="6"/>
  <c r="F35" i="6"/>
  <c r="C35" i="6"/>
  <c r="C28" i="6"/>
  <c r="F28" i="6"/>
  <c r="I28" i="6"/>
  <c r="L28" i="6"/>
  <c r="C29" i="6"/>
  <c r="F29" i="6"/>
  <c r="I29" i="6"/>
  <c r="L29" i="6"/>
  <c r="C30" i="6"/>
  <c r="F30" i="6"/>
  <c r="I30" i="6"/>
  <c r="L30" i="6"/>
  <c r="C31" i="6"/>
  <c r="F31" i="6"/>
  <c r="I31" i="6"/>
  <c r="L31" i="6"/>
  <c r="C32" i="6"/>
  <c r="F32" i="6"/>
  <c r="I32" i="6"/>
  <c r="L32" i="6"/>
  <c r="C33" i="6"/>
  <c r="F33" i="6"/>
  <c r="I33" i="6"/>
  <c r="L33" i="6"/>
  <c r="L27" i="6"/>
  <c r="I27" i="6"/>
  <c r="F27" i="6"/>
  <c r="C27" i="6"/>
  <c r="L26" i="6"/>
  <c r="I26" i="6"/>
  <c r="F26" i="6"/>
  <c r="C26" i="6"/>
  <c r="C18" i="6"/>
  <c r="F18" i="6"/>
  <c r="I18" i="6"/>
  <c r="L18" i="6"/>
  <c r="L5" i="6"/>
  <c r="L6" i="6"/>
  <c r="L7" i="6"/>
  <c r="L8" i="6"/>
  <c r="L9" i="6"/>
  <c r="L10" i="6"/>
  <c r="L11" i="6"/>
  <c r="L12" i="6"/>
  <c r="L13" i="6"/>
  <c r="L14" i="6"/>
  <c r="L4" i="6"/>
  <c r="I5" i="6"/>
  <c r="I6" i="6"/>
  <c r="I7" i="6"/>
  <c r="I8" i="6"/>
  <c r="I9" i="6"/>
  <c r="I10" i="6"/>
  <c r="I11" i="6"/>
  <c r="I12" i="6"/>
  <c r="I13" i="6"/>
  <c r="I14" i="6"/>
  <c r="I4" i="6"/>
  <c r="F5" i="6"/>
  <c r="F6" i="6"/>
  <c r="F7" i="6"/>
  <c r="F8" i="6"/>
  <c r="F9" i="6"/>
  <c r="F10" i="6"/>
  <c r="F11" i="6"/>
  <c r="F12" i="6"/>
  <c r="F13" i="6"/>
  <c r="F14" i="6"/>
  <c r="F4" i="6"/>
  <c r="C5" i="6"/>
  <c r="C6" i="6"/>
  <c r="C7" i="6"/>
  <c r="C8" i="6"/>
  <c r="C9" i="6"/>
  <c r="C10" i="6"/>
  <c r="C11" i="6"/>
  <c r="C12" i="6"/>
  <c r="C13" i="6"/>
  <c r="C14" i="6"/>
  <c r="C4" i="6"/>
  <c r="Q40" i="6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<sst xmlns="http://schemas.openxmlformats.org/spreadsheetml/2006/main" count="34" uniqueCount="33">
  <si>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</si>
  <si>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</si>
  <si>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</si>
  <si>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</si>
  <si>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</si>
  <si>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</si>
  <si>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</si>
  <si>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</si>
  <si>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</si>
  <si>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</si>
  <si>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</si>
  <si>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</si>
  <si>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</si>
  <si>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</si>
  <si>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</si>
  <si>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</si>
  <si>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</si>
  <si>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TargetPath</t>
    <phoneticPr fontId="1"/>
  </si>
  <si>
    <t>DateSlot</t>
    <phoneticPr fontId="1"/>
  </si>
  <si>
    <t>1-6</t>
    <phoneticPr fontId="1"/>
  </si>
  <si>
    <t>InspectionDate</t>
    <phoneticPr fontId="1"/>
  </si>
  <si>
    <t>InspectorID</t>
    <phoneticPr fontId="1"/>
  </si>
  <si>
    <t>InspectorName</t>
    <phoneticPr fontId="1"/>
  </si>
  <si>
    <t>前田　賢一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</si>
  <si>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</si>
  <si>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</si>
  <si>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</si>
  <si>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</si>
  <si>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</si>
  <si>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</si>
  <si>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</si>
  <si>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</si>
  <si>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\\192.168.1.210\@isk\★部門\④製造管理部\★品質保証\改正検査書\改正検査書\工程内検査\巡回検査\製品検査 (1)\CAI0303 DT90 板バネ合せ (藤咲製作所).xls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</si>
</sst>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56" fontId="0" fillId="0" borderId="0" xfId="0" quotePrefix="1" applyNumberFormat="1">
      <alignment vertical="center"/>
    </xf>
    <xf numFmtId="0" fontId="0" fillId="0" borderId="0" xfId="0" applyAlignmen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oneCellAnchor>
    <xdr:from>
      <xdr:col>14</xdr:col>
      <xdr:colOff>22488</xdr:colOff>
      <xdr:row>24</xdr:row>
      <xdr:rowOff>63499</xdr:rowOff>
    </xdr:from>
    <xdr:ext cx="751417" cy="1805781"/>
    <xdr:sp macro="" textlink="$Q$26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1285801" y="4837905"/>
          <a:ext cx="751417" cy="18057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1777C565-625F-4798-802B-DD9BF4DEB229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one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B4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D9934684-4144-4361-A855-5F942AF9485E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t>'26.06.23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6</xdr:row>
      <xdr:rowOff>57150</xdr:rowOff>
    </xdr:from>
    <xdr:to>
      <xdr:col>5</xdr:col>
      <xdr:colOff>352425</xdr:colOff>
      <xdr:row>11</xdr:row>
      <xdr:rowOff>76200</xdr:rowOff>
    </xdr:to>
    <xdr:sp macro="[0]!PrintFile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3276600" y="108585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S2" sqref="S2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s="63" t="str">
        <f>TEXT(data!B3,"yyyy")&amp;"年  "&amp;TEXT(data!B3,"m")&amp;"月  "&amp;TEXT(data!B3,"d")&amp;"日"</f>
        <v>2026年  6月  23日</v>
      </c>
    </row>
    <row r="2" spans="2:22" ht="18" customHeight="1" thickBot="1" x14ac:dyDescent="0.2">
      <c r="B2" s="21">
        <f>YEAR(data!B3)</f>
        <v>2026</v>
      </c>
      <c r="C2" s="28" t="s">
        <v>7</v>
      </c>
      <c r="D2" s="28" t="str">
        <f>MONTH(data!B3)&amp;"月"</f>
        <v>6月</v>
      </c>
      <c r="E2" s="28" t="str">
        <f>DAY(data!B3)&amp;"日"</f>
        <v>23日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"&amp;data!B5</f>
        <v>担当　：　前田　賢一</v>
      </c>
      <c r="O2" s="20"/>
      <c r="S2" s="63" t="str">
        <f>"    "&amp;S1&amp;VLOOKUP(data!B2,U4:V7,2,0)</f>
        <v xml:space="preserve">    2026年  6月  23日　  8 ： 30　～　10 ： 00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"'"&amp;RIGHT(YEAR(data!B3),2)&amp;"."&amp;TEXT(MONTH(data!B3),"00")&amp;"."&amp;TEXT(DAY(data!B3),"00")</f>
        <v>'26.06.23</v>
      </c>
    </row>
    <row r="4" spans="2:22" ht="18" customHeight="1" x14ac:dyDescent="0.15">
      <c r="B4" s="16"/>
      <c r="C4" s="33" t="str">
        <f>IFERROR(VLOOKUP(#REF!,#REF!,2,0),"")</f>
        <v/>
      </c>
      <c r="D4" s="8"/>
      <c r="E4" s="9"/>
      <c r="F4" s="33" t="str">
        <f>IFERROR(VLOOKUP(#REF!,#REF!,2,0),"")</f>
        <v/>
      </c>
      <c r="G4" s="8"/>
      <c r="H4" s="9"/>
      <c r="I4" s="33" t="str">
        <f>IFERROR(VLOOKUP(#REF!,#REF!,2,0),"")</f>
        <v/>
      </c>
      <c r="J4" s="8"/>
      <c r="K4" s="9"/>
      <c r="L4" s="33" t="str">
        <f>IFERROR(VLOOKUP(#REF!,#REF!,2,0),"")</f>
        <v/>
      </c>
      <c r="M4" s="8"/>
      <c r="N4" s="9"/>
      <c r="O4" s="18"/>
      <c r="Q4" s="27">
        <f>44-COUNTIF(C4:C14,"")-COUNTIF(F4:F14,"")-COUNTIF(I4:I14,"")-COUNTIF(L4:L14,"")</f>
        <v>0</v>
      </c>
      <c r="U4" t="s">
        <v>24</v>
      </c>
      <c r="V4" t="s">
        <v>28</v>
      </c>
    </row>
    <row r="5" spans="2:22" ht="18" customHeight="1" x14ac:dyDescent="0.15">
      <c r="B5" s="17"/>
      <c r="C5" s="33" t="str">
        <f>IFERROR(VLOOKUP(#REF!,#REF!,2,0),"")</f>
        <v/>
      </c>
      <c r="D5" s="8"/>
      <c r="E5" s="9"/>
      <c r="F5" s="33" t="str">
        <f>IFERROR(VLOOKUP(#REF!,#REF!,2,0),"")</f>
        <v/>
      </c>
      <c r="G5" s="8"/>
      <c r="H5" s="9"/>
      <c r="I5" s="33" t="str">
        <f>IFERROR(VLOOKUP(#REF!,#REF!,2,0),"")</f>
        <v/>
      </c>
      <c r="J5" s="8"/>
      <c r="K5" s="9"/>
      <c r="L5" s="33" t="str">
        <f>IFERROR(VLOOKUP(#REF!,#REF!,2,0),"")</f>
        <v/>
      </c>
      <c r="M5" s="8"/>
      <c r="N5" s="9"/>
      <c r="O5" s="6"/>
      <c r="U5" t="s">
        <v>25</v>
      </c>
      <c r="V5" t="s">
        <v>29</v>
      </c>
    </row>
    <row r="6" spans="2:22" ht="18" customHeight="1" x14ac:dyDescent="0.15">
      <c r="B6" s="17"/>
      <c r="C6" s="33" t="str">
        <f>IFERROR(VLOOKUP(#REF!,#REF!,2,0),"")</f>
        <v/>
      </c>
      <c r="D6" s="8"/>
      <c r="E6" s="9"/>
      <c r="F6" s="33" t="str">
        <f>IFERROR(VLOOKUP(#REF!,#REF!,2,0),"")</f>
        <v/>
      </c>
      <c r="G6" s="8"/>
      <c r="H6" s="9"/>
      <c r="I6" s="33" t="str">
        <f>IFERROR(VLOOKUP(#REF!,#REF!,2,0),"")</f>
        <v/>
      </c>
      <c r="J6" s="8"/>
      <c r="K6" s="9"/>
      <c r="L6" s="33" t="str">
        <f>IFERROR(VLOOKUP(#REF!,#REF!,2,0),"")</f>
        <v/>
      </c>
      <c r="M6" s="8"/>
      <c r="N6" s="9"/>
      <c r="O6" s="6"/>
      <c r="U6" t="s">
        <v>26</v>
      </c>
      <c r="V6" t="s">
        <v>30</v>
      </c>
    </row>
    <row r="7" spans="2:22" ht="18" customHeight="1" x14ac:dyDescent="0.15">
      <c r="B7" s="17"/>
      <c r="C7" s="33" t="str">
        <f>IFERROR(VLOOKUP(#REF!,#REF!,2,0),"")</f>
        <v/>
      </c>
      <c r="D7" s="8"/>
      <c r="E7" s="9"/>
      <c r="F7" s="33" t="str">
        <f>IFERROR(VLOOKUP(#REF!,#REF!,2,0),"")</f>
        <v/>
      </c>
      <c r="G7" s="8"/>
      <c r="H7" s="9"/>
      <c r="I7" s="33" t="str">
        <f>IFERROR(VLOOKUP(#REF!,#REF!,2,0),"")</f>
        <v/>
      </c>
      <c r="J7" s="8"/>
      <c r="K7" s="9"/>
      <c r="L7" s="33" t="str">
        <f>IFERROR(VLOOKUP(#REF!,#REF!,2,0),"")</f>
        <v/>
      </c>
      <c r="M7" s="8"/>
      <c r="N7" s="9"/>
      <c r="O7" s="6"/>
      <c r="U7" t="s">
        <v>27</v>
      </c>
      <c r="V7" t="s">
        <v>31</v>
      </c>
    </row>
    <row r="8" spans="2:22" ht="18" customHeight="1" x14ac:dyDescent="0.15">
      <c r="B8" s="17"/>
      <c r="C8" s="33" t="str">
        <f>IFERROR(VLOOKUP(#REF!,#REF!,2,0),"")</f>
        <v/>
      </c>
      <c r="D8" s="8"/>
      <c r="E8" s="9"/>
      <c r="F8" s="33" t="str">
        <f>IFERROR(VLOOKUP(#REF!,#REF!,2,0),"")</f>
        <v/>
      </c>
      <c r="G8" s="8"/>
      <c r="H8" s="9"/>
      <c r="I8" s="33" t="str">
        <f>IFERROR(VLOOKUP(#REF!,#REF!,2,0),"")</f>
        <v/>
      </c>
      <c r="J8" s="8"/>
      <c r="K8" s="9"/>
      <c r="L8" s="33" t="str">
        <f>IFERROR(VLOOKUP(#REF!,#REF!,2,0),"")</f>
        <v/>
      </c>
      <c r="M8" s="8"/>
      <c r="N8" s="9"/>
      <c r="O8" s="6"/>
    </row>
    <row r="9" spans="2:22" ht="18" customHeight="1" x14ac:dyDescent="0.15">
      <c r="B9" s="17" t="s">
        <v>1</v>
      </c>
      <c r="C9" s="33" t="str">
        <f>IFERROR(VLOOKUP(#REF!,#REF!,2,0),"")</f>
        <v/>
      </c>
      <c r="D9" s="8"/>
      <c r="E9" s="9"/>
      <c r="F9" s="33" t="str">
        <f>IFERROR(VLOOKUP(#REF!,#REF!,2,0),"")</f>
        <v/>
      </c>
      <c r="G9" s="8"/>
      <c r="H9" s="9"/>
      <c r="I9" s="33" t="str">
        <f>IFERROR(VLOOKUP(#REF!,#REF!,2,0),"")</f>
        <v/>
      </c>
      <c r="J9" s="8"/>
      <c r="K9" s="9"/>
      <c r="L9" s="33" t="str">
        <f>IFERROR(VLOOKUP(#REF!,#REF!,2,0),"")</f>
        <v/>
      </c>
      <c r="M9" s="8"/>
      <c r="N9" s="9"/>
      <c r="O9" s="6">
        <f>Q4</f>
        <v>0</v>
      </c>
    </row>
    <row r="10" spans="2:22" ht="18" customHeight="1" x14ac:dyDescent="0.15">
      <c r="B10" s="17"/>
      <c r="C10" s="33" t="str">
        <f>IFERROR(VLOOKUP(#REF!,#REF!,2,0),"")</f>
        <v/>
      </c>
      <c r="D10" s="8"/>
      <c r="E10" s="9"/>
      <c r="F10" s="33" t="str">
        <f>IFERROR(VLOOKUP(#REF!,#REF!,2,0),"")</f>
        <v/>
      </c>
      <c r="G10" s="8"/>
      <c r="H10" s="9"/>
      <c r="I10" s="33" t="str">
        <f>IFERROR(VLOOKUP(#REF!,#REF!,2,0),"")</f>
        <v/>
      </c>
      <c r="J10" s="8"/>
      <c r="K10" s="9"/>
      <c r="L10" s="33" t="str">
        <f>IFERROR(VLOOKUP(#REF!,#REF!,2,0),"")</f>
        <v/>
      </c>
      <c r="M10" s="8"/>
      <c r="N10" s="9"/>
      <c r="O10" s="6"/>
    </row>
    <row r="11" spans="2:22" ht="18" customHeight="1" x14ac:dyDescent="0.15">
      <c r="B11" s="17"/>
      <c r="C11" s="33" t="str">
        <f>IFERROR(VLOOKUP(#REF!,#REF!,2,0),"")</f>
        <v/>
      </c>
      <c r="D11" s="8"/>
      <c r="E11" s="9"/>
      <c r="F11" s="33" t="str">
        <f>IFERROR(VLOOKUP(#REF!,#REF!,2,0),"")</f>
        <v/>
      </c>
      <c r="G11" s="8"/>
      <c r="H11" s="9"/>
      <c r="I11" s="33" t="str">
        <f>IFERROR(VLOOKUP(#REF!,#REF!,2,0),"")</f>
        <v/>
      </c>
      <c r="J11" s="8"/>
      <c r="K11" s="9"/>
      <c r="L11" s="33" t="str">
        <f>IFERROR(VLOOKUP(#REF!,#REF!,2,0),"")</f>
        <v/>
      </c>
      <c r="M11" s="8"/>
      <c r="N11" s="9"/>
      <c r="O11" s="6"/>
    </row>
    <row r="12" spans="2:22" ht="18" customHeight="1" x14ac:dyDescent="0.15">
      <c r="B12" s="17"/>
      <c r="C12" s="33" t="str">
        <f>IFERROR(VLOOKUP(#REF!,#REF!,2,0),"")</f>
        <v/>
      </c>
      <c r="D12" s="8"/>
      <c r="E12" s="9"/>
      <c r="F12" s="33" t="str">
        <f>IFERROR(VLOOKUP(#REF!,#REF!,2,0),"")</f>
        <v/>
      </c>
      <c r="G12" s="8"/>
      <c r="H12" s="9"/>
      <c r="I12" s="33" t="str">
        <f>IFERROR(VLOOKUP(#REF!,#REF!,2,0),"")</f>
        <v/>
      </c>
      <c r="J12" s="8"/>
      <c r="K12" s="9"/>
      <c r="L12" s="33" t="str">
        <f>IFERROR(VLOOKUP(#REF!,#REF!,2,0),"")</f>
        <v/>
      </c>
      <c r="M12" s="8"/>
      <c r="N12" s="9"/>
      <c r="O12" s="6"/>
    </row>
    <row r="13" spans="2:22" ht="18" customHeight="1" x14ac:dyDescent="0.15">
      <c r="B13" s="17"/>
      <c r="C13" s="33" t="str">
        <f>IFERROR(VLOOKUP(#REF!,#REF!,2,0),"")</f>
        <v/>
      </c>
      <c r="D13" s="8"/>
      <c r="E13" s="9"/>
      <c r="F13" s="33" t="str">
        <f>IFERROR(VLOOKUP(#REF!,#REF!,2,0),"")</f>
        <v/>
      </c>
      <c r="G13" s="8"/>
      <c r="H13" s="9"/>
      <c r="I13" s="33" t="str">
        <f>IFERROR(VLOOKUP(#REF!,#REF!,2,0),"")</f>
        <v/>
      </c>
      <c r="J13" s="8"/>
      <c r="K13" s="9"/>
      <c r="L13" s="33" t="str">
        <f>IFERROR(VLOOKUP(#REF!,#REF!,2,0),"")</f>
        <v/>
      </c>
      <c r="M13" s="8"/>
      <c r="N13" s="9"/>
      <c r="O13" s="6"/>
    </row>
    <row r="14" spans="2:22" ht="18" customHeight="1" x14ac:dyDescent="0.15">
      <c r="B14" s="50"/>
      <c r="C14" s="33" t="str">
        <f>IFERROR(VLOOKUP(#REF!,#REF!,2,0),"")</f>
        <v/>
      </c>
      <c r="D14" s="8"/>
      <c r="E14" s="9"/>
      <c r="F14" s="33" t="str">
        <f>IFERROR(VLOOKUP(#REF!,#REF!,2,0),"")</f>
        <v/>
      </c>
      <c r="G14" s="8"/>
      <c r="H14" s="9"/>
      <c r="I14" s="33" t="str">
        <f>IFERROR(VLOOKUP(#REF!,#REF!,2,0),"")</f>
        <v/>
      </c>
      <c r="J14" s="8"/>
      <c r="K14" s="9"/>
      <c r="L14" s="33" t="str">
        <f>IFERROR(VLOOKUP(#REF!,#REF!,2,0),"")</f>
        <v/>
      </c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 t="str">
        <f>IFERROR(VLOOKUP(#REF!,#REF!,2,0),"")</f>
        <v/>
      </c>
      <c r="D18" s="53"/>
      <c r="E18" s="54"/>
      <c r="F18" s="34" t="str">
        <f>IFERROR(VLOOKUP(#REF!,#REF!,2,0),"")</f>
        <v/>
      </c>
      <c r="G18" s="53"/>
      <c r="H18" s="54"/>
      <c r="I18" s="34" t="str">
        <f>IFERROR(VLOOKUP(#REF!,#REF!,2,0),"")</f>
        <v/>
      </c>
      <c r="J18" s="53"/>
      <c r="K18" s="54"/>
      <c r="L18" s="34" t="str">
        <f>IFERROR(VLOOKUP(#REF!,#REF!,2,0),"")</f>
        <v/>
      </c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 t="str">
        <f>IFERROR(VLOOKUP(#REF!,#REF!,2,0),"")</f>
        <v/>
      </c>
      <c r="D19" s="58"/>
      <c r="E19" s="59"/>
      <c r="F19" s="33" t="str">
        <f>IFERROR(VLOOKUP(#REF!,#REF!,2,0),"")</f>
        <v/>
      </c>
      <c r="G19" s="58"/>
      <c r="H19" s="59"/>
      <c r="I19" s="33" t="str">
        <f>IFERROR(VLOOKUP(#REF!,#REF!,2,0),"")</f>
        <v/>
      </c>
      <c r="J19" s="58"/>
      <c r="K19" s="59"/>
      <c r="L19" s="33" t="str">
        <f>IFERROR(VLOOKUP(#REF!,#REF!,2,0),"")</f>
        <v/>
      </c>
      <c r="M19" s="58"/>
      <c r="N19" s="59"/>
      <c r="O19" s="6">
        <f>Q18</f>
        <v>0</v>
      </c>
    </row>
    <row r="20" spans="2:17" ht="18" customHeight="1" thickBot="1" x14ac:dyDescent="0.2">
      <c r="B20" s="30"/>
      <c r="C20" s="35" t="str">
        <f>IFERROR(VLOOKUP(#REF!,#REF!,2,0),"")</f>
        <v/>
      </c>
      <c r="D20" s="55"/>
      <c r="E20" s="56"/>
      <c r="F20" s="35" t="str">
        <f>IFERROR(VLOOKUP(#REF!,#REF!,2,0),"")</f>
        <v/>
      </c>
      <c r="G20" s="55"/>
      <c r="H20" s="56"/>
      <c r="I20" s="35" t="str">
        <f>IFERROR(VLOOKUP(#REF!,#REF!,2,0),"")</f>
        <v/>
      </c>
      <c r="J20" s="55"/>
      <c r="K20" s="56"/>
      <c r="L20" s="35" t="str">
        <f>IFERROR(VLOOKUP(#REF!,#REF!,2,0),"")</f>
        <v/>
      </c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 t="str">
        <f>IFERROR(VLOOKUP(#REF!,#REF!,2,0),"")</f>
        <v/>
      </c>
      <c r="D22" s="53"/>
      <c r="E22" s="54"/>
      <c r="F22" s="34" t="str">
        <f>IFERROR(VLOOKUP(#REF!,#REF!,2,0),"")</f>
        <v/>
      </c>
      <c r="G22" s="53"/>
      <c r="H22" s="54"/>
      <c r="I22" s="34" t="str">
        <f>IFERROR(VLOOKUP(#REF!,#REF!,2,0),"")</f>
        <v/>
      </c>
      <c r="J22" s="53"/>
      <c r="K22" s="54"/>
      <c r="L22" s="34" t="str">
        <f>IFERROR(VLOOKUP(#REF!,#REF!,2,0),"")</f>
        <v/>
      </c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 t="str">
        <f>IFERROR(VLOOKUP(#REF!,#REF!,2,0),"")</f>
        <v/>
      </c>
      <c r="D23" s="58"/>
      <c r="E23" s="59"/>
      <c r="F23" s="33" t="str">
        <f>IFERROR(VLOOKUP(#REF!,#REF!,2,0),"")</f>
        <v/>
      </c>
      <c r="G23" s="58"/>
      <c r="H23" s="59"/>
      <c r="I23" s="33" t="str">
        <f>IFERROR(VLOOKUP(#REF!,#REF!,2,0),"")</f>
        <v/>
      </c>
      <c r="J23" s="58"/>
      <c r="K23" s="59"/>
      <c r="L23" s="33" t="str">
        <f>IFERROR(VLOOKUP(#REF!,#REF!,2,0),"")</f>
        <v/>
      </c>
      <c r="M23" s="58"/>
      <c r="N23" s="59"/>
      <c r="O23" s="6">
        <f>Q22</f>
        <v>0</v>
      </c>
    </row>
    <row r="24" spans="2:17" ht="18" customHeight="1" thickBot="1" x14ac:dyDescent="0.2">
      <c r="B24" s="30"/>
      <c r="C24" s="35" t="str">
        <f>IFERROR(VLOOKUP(#REF!,#REF!,2,0),"")</f>
        <v/>
      </c>
      <c r="D24" s="55"/>
      <c r="E24" s="56"/>
      <c r="F24" s="35" t="str">
        <f>IFERROR(VLOOKUP(#REF!,#REF!,2,0),"")</f>
        <v/>
      </c>
      <c r="G24" s="55"/>
      <c r="H24" s="56"/>
      <c r="I24" s="35" t="str">
        <f>IFERROR(VLOOKUP(#REF!,#REF!,2,0),"")</f>
        <v/>
      </c>
      <c r="J24" s="55"/>
      <c r="K24" s="56"/>
      <c r="L24" s="35" t="str">
        <f>IFERROR(VLOOKUP(#REF!,#REF!,2,0),"")</f>
        <v/>
      </c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 t="str">
        <f>IFERROR(VLOOKUP(#REF!,#REF!,2,0),"")</f>
        <v/>
      </c>
      <c r="D26" s="53"/>
      <c r="E26" s="54"/>
      <c r="F26" s="34" t="str">
        <f>IFERROR(VLOOKUP(#REF!,#REF!,2,0),"")</f>
        <v/>
      </c>
      <c r="G26" s="53"/>
      <c r="H26" s="54"/>
      <c r="I26" s="34" t="str">
        <f>IFERROR(VLOOKUP(#REF!,#REF!,2,0),"")</f>
        <v/>
      </c>
      <c r="J26" s="53"/>
      <c r="K26" s="54"/>
      <c r="L26" s="34" t="str">
        <f>IFERROR(VLOOKUP(#REF!,#REF!,2,0),"")</f>
        <v/>
      </c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 t="str">
        <f>IFERROR(VLOOKUP(#REF!,#REF!,2,0),"")</f>
        <v/>
      </c>
      <c r="D27" s="58"/>
      <c r="E27" s="59"/>
      <c r="F27" s="33" t="str">
        <f>IFERROR(VLOOKUP(#REF!,#REF!,2,0),"")</f>
        <v/>
      </c>
      <c r="G27" s="58"/>
      <c r="H27" s="59"/>
      <c r="I27" s="33" t="str">
        <f>IFERROR(VLOOKUP(#REF!,#REF!,2,0),"")</f>
        <v/>
      </c>
      <c r="J27" s="58"/>
      <c r="K27" s="59"/>
      <c r="L27" s="33" t="str">
        <f>IFERROR(VLOOKUP(#REF!,#REF!,2,0),"")</f>
        <v/>
      </c>
      <c r="M27" s="58"/>
      <c r="N27" s="59"/>
      <c r="O27" s="6"/>
    </row>
    <row r="28" spans="2:17" ht="18" customHeight="1" x14ac:dyDescent="0.15">
      <c r="B28" s="17"/>
      <c r="C28" s="33" t="str">
        <f>IFERROR(VLOOKUP(#REF!,#REF!,2,0),"")</f>
        <v/>
      </c>
      <c r="D28" s="58"/>
      <c r="E28" s="59"/>
      <c r="F28" s="33" t="str">
        <f>IFERROR(VLOOKUP(#REF!,#REF!,2,0),"")</f>
        <v/>
      </c>
      <c r="G28" s="58"/>
      <c r="H28" s="59"/>
      <c r="I28" s="33" t="str">
        <f>IFERROR(VLOOKUP(#REF!,#REF!,2,0),"")</f>
        <v/>
      </c>
      <c r="J28" s="58"/>
      <c r="K28" s="59"/>
      <c r="L28" s="33" t="str">
        <f>IFERROR(VLOOKUP(#REF!,#REF!,2,0),"")</f>
        <v/>
      </c>
      <c r="M28" s="58"/>
      <c r="N28" s="59"/>
      <c r="O28" s="6"/>
    </row>
    <row r="29" spans="2:17" ht="18" customHeight="1" x14ac:dyDescent="0.15">
      <c r="B29" s="17" t="s">
        <v>11</v>
      </c>
      <c r="C29" s="33" t="str">
        <f>IFERROR(VLOOKUP(#REF!,#REF!,2,0),"")</f>
        <v/>
      </c>
      <c r="D29" s="58"/>
      <c r="E29" s="59"/>
      <c r="F29" s="33" t="str">
        <f>IFERROR(VLOOKUP(#REF!,#REF!,2,0),"")</f>
        <v/>
      </c>
      <c r="G29" s="58"/>
      <c r="H29" s="59"/>
      <c r="I29" s="33" t="str">
        <f>IFERROR(VLOOKUP(#REF!,#REF!,2,0),"")</f>
        <v/>
      </c>
      <c r="J29" s="58"/>
      <c r="K29" s="59"/>
      <c r="L29" s="33" t="str">
        <f>IFERROR(VLOOKUP(#REF!,#REF!,2,0),"")</f>
        <v/>
      </c>
      <c r="M29" s="58"/>
      <c r="N29" s="59"/>
      <c r="O29" s="6"/>
    </row>
    <row r="30" spans="2:17" ht="18" customHeight="1" x14ac:dyDescent="0.15">
      <c r="B30" s="17" t="s">
        <v>12</v>
      </c>
      <c r="C30" s="33" t="str">
        <f>IFERROR(VLOOKUP(#REF!,#REF!,2,0),"")</f>
        <v/>
      </c>
      <c r="D30" s="58"/>
      <c r="E30" s="59"/>
      <c r="F30" s="33" t="str">
        <f>IFERROR(VLOOKUP(#REF!,#REF!,2,0),"")</f>
        <v/>
      </c>
      <c r="G30" s="58"/>
      <c r="H30" s="59"/>
      <c r="I30" s="33" t="str">
        <f>IFERROR(VLOOKUP(#REF!,#REF!,2,0),"")</f>
        <v/>
      </c>
      <c r="J30" s="58"/>
      <c r="K30" s="59"/>
      <c r="L30" s="33" t="str">
        <f>IFERROR(VLOOKUP(#REF!,#REF!,2,0),"")</f>
        <v/>
      </c>
      <c r="M30" s="58"/>
      <c r="N30" s="59"/>
      <c r="O30" s="6"/>
    </row>
    <row r="31" spans="2:17" ht="18" customHeight="1" x14ac:dyDescent="0.15">
      <c r="B31" s="17"/>
      <c r="C31" s="33" t="str">
        <f>IFERROR(VLOOKUP(#REF!,#REF!,2,0),"")</f>
        <v/>
      </c>
      <c r="D31" s="58"/>
      <c r="E31" s="59"/>
      <c r="F31" s="33" t="str">
        <f>IFERROR(VLOOKUP(#REF!,#REF!,2,0),"")</f>
        <v/>
      </c>
      <c r="G31" s="58"/>
      <c r="H31" s="59"/>
      <c r="I31" s="33" t="str">
        <f>IFERROR(VLOOKUP(#REF!,#REF!,2,0),"")</f>
        <v/>
      </c>
      <c r="J31" s="58"/>
      <c r="K31" s="59"/>
      <c r="L31" s="33" t="str">
        <f>IFERROR(VLOOKUP(#REF!,#REF!,2,0),"")</f>
        <v/>
      </c>
      <c r="M31" s="58"/>
      <c r="N31" s="59"/>
      <c r="O31" s="6"/>
    </row>
    <row r="32" spans="2:17" ht="18" customHeight="1" x14ac:dyDescent="0.15">
      <c r="B32" s="17"/>
      <c r="C32" s="33" t="str">
        <f>IFERROR(VLOOKUP(#REF!,#REF!,2,0),"")</f>
        <v/>
      </c>
      <c r="D32" s="58"/>
      <c r="E32" s="59"/>
      <c r="F32" s="33" t="str">
        <f>IFERROR(VLOOKUP(#REF!,#REF!,2,0),"")</f>
        <v/>
      </c>
      <c r="G32" s="58"/>
      <c r="H32" s="59"/>
      <c r="I32" s="33" t="str">
        <f>IFERROR(VLOOKUP(#REF!,#REF!,2,0),"")</f>
        <v/>
      </c>
      <c r="J32" s="58"/>
      <c r="K32" s="59"/>
      <c r="L32" s="33" t="str">
        <f>IFERROR(VLOOKUP(#REF!,#REF!,2,0),"")</f>
        <v/>
      </c>
      <c r="M32" s="58"/>
      <c r="N32" s="59"/>
      <c r="O32" s="6"/>
    </row>
    <row r="33" spans="2:17" ht="18" customHeight="1" thickBot="1" x14ac:dyDescent="0.2">
      <c r="B33" s="30"/>
      <c r="C33" s="35" t="str">
        <f>IFERROR(VLOOKUP(#REF!,#REF!,2,0),"")</f>
        <v/>
      </c>
      <c r="D33" s="55"/>
      <c r="E33" s="56"/>
      <c r="F33" s="35" t="str">
        <f>IFERROR(VLOOKUP(#REF!,#REF!,2,0),"")</f>
        <v/>
      </c>
      <c r="G33" s="55"/>
      <c r="H33" s="56"/>
      <c r="I33" s="35" t="str">
        <f>IFERROR(VLOOKUP(#REF!,#REF!,2,0),"")</f>
        <v/>
      </c>
      <c r="J33" s="55"/>
      <c r="K33" s="56"/>
      <c r="L33" s="35" t="str">
        <f>IFERROR(VLOOKUP(#REF!,#REF!,2,0),"")</f>
        <v/>
      </c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 t="str">
        <f>IFERROR(VLOOKUP(#REF!,#REF!,2,0),"")</f>
        <v/>
      </c>
      <c r="D35" s="53"/>
      <c r="E35" s="54"/>
      <c r="F35" s="34" t="str">
        <f>IFERROR(VLOOKUP(#REF!,#REF!,2,0),"")</f>
        <v/>
      </c>
      <c r="G35" s="53"/>
      <c r="H35" s="54"/>
      <c r="I35" s="34" t="str">
        <f>IFERROR(VLOOKUP(#REF!,#REF!,2,0),"")</f>
        <v/>
      </c>
      <c r="J35" s="53"/>
      <c r="K35" s="54"/>
      <c r="L35" s="34" t="str">
        <f>IFERROR(VLOOKUP(#REF!,#REF!,2,0),"")</f>
        <v/>
      </c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 t="str">
        <f>IFERROR(VLOOKUP(#REF!,#REF!,2,0),"")</f>
        <v/>
      </c>
      <c r="D36" s="55"/>
      <c r="E36" s="56"/>
      <c r="F36" s="35" t="str">
        <f>IFERROR(VLOOKUP(#REF!,#REF!,2,0),"")</f>
        <v/>
      </c>
      <c r="G36" s="55"/>
      <c r="H36" s="56"/>
      <c r="I36" s="35" t="str">
        <f>IFERROR(VLOOKUP(#REF!,#REF!,2,0),"")</f>
        <v/>
      </c>
      <c r="J36" s="55"/>
      <c r="K36" s="56"/>
      <c r="L36" s="35" t="str">
        <f>IFERROR(VLOOKUP(#REF!,#REF!,2,0),"")</f>
        <v/>
      </c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1:B5"/>
  <sheetViews>
    <sheetView workbookViewId="0">
      <selection activeCell="B2" sqref="B2"/>
    </sheetView>
  </sheetViews>
  <sheetFormatPr defaultRowHeight="13.5" x14ac:dyDescent="0.15"/>
  <cols>
    <col min="1" max="1" width="13.875" bestFit="1" customWidth="1"/>
  </cols>
  <sheetData>
    <row r="1" spans="1:2" x14ac:dyDescent="0.15">
      <c r="A1" t="s">
        <v>17</v>
      </c>
      <c r="B1" t="s">
        <v>32</v>
      </c>
    </row>
    <row r="2" spans="1:2" x14ac:dyDescent="0.15">
      <c r="A2" t="s">
        <v>18</v>
      </c>
      <c r="B2" t="s">
        <v>24</v>
      </c>
    </row>
    <row r="3" spans="1:2" x14ac:dyDescent="0.15">
      <c r="A3" t="s">
        <v>20</v>
      </c>
      <c r="B3" s="61">
        <v>46196</v>
      </c>
    </row>
    <row r="4" spans="1:2" x14ac:dyDescent="0.15">
      <c r="A4" t="s">
        <v>21</v>
      </c>
      <c r="B4" s="62" t="s">
        <v>19</v>
      </c>
    </row>
    <row r="5" spans="1:2" x14ac:dyDescent="0.15">
      <c r="A5" t="s">
        <v>22</v>
      </c>
      <c r="B5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2026-06-23T08:10:32Z</dcterms:modified>
</cp:coreProperties>
</file>