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4DF5DF2D-4E8F-4DE4-A489-DABF6F673F7E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6" l="1"/>
  <c r="S3" i="6" l="1"/>
  <c r="S1" i="6"/>
  <c r="O38" i="6"/>
  <c r="Q38" i="6"/>
  <c r="N2" i="6" l="1"/>
  <c r="E2" i="6"/>
  <c r="D2" i="6"/>
  <c r="B2" i="6"/>
  <c r="Q22" i="6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<sst xmlns="http://schemas.openxmlformats.org/spreadsheetml/2006/main" count="34" uniqueCount="33">
  <si>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</si>
  <si>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</si>
  <si>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</si>
  <si>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</si>
  <si>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</si>
  <si>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</si>
  <si>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</si>
  <si>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</si>
  <si>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</si>
  <si>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</si>
  <si>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</si>
  <si>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</si>
  <si>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</si>
  <si>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</si>
  <si>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</si>
  <si>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</si>
  <si>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</si>
  <si>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TargetPath</t>
    <phoneticPr fontId="1"/>
  </si>
  <si>
    <t>DateSlot</t>
    <phoneticPr fontId="1"/>
  </si>
  <si>
    <t>1-6</t>
    <phoneticPr fontId="1"/>
  </si>
  <si>
    <t>InspectionDate</t>
    <phoneticPr fontId="1"/>
  </si>
  <si>
    <t>InspectorID</t>
    <phoneticPr fontId="1"/>
  </si>
  <si>
    <t>InspectorName</t>
    <phoneticPr fontId="1"/>
  </si>
  <si>
    <t>前田　賢一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</si>
  <si>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</si>
  <si>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</si>
  <si>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</si>
  <si>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</si>
  <si>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</si>
  <si>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</si>
  <si>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</si>
  <si>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</si>
  <si>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\\192.168.1.210\@isk\★部門\④製造管理部\★品質保証\改正検査書\改正検査書\工程内検査\巡回検査\製品検査 (1)\CAI0303 DT90 板バネ合せ (藤咲製作所).xls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</si>
</sst>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3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56" fontId="0" fillId="0" borderId="0" xfId="0" quotePrefix="1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14</xdr:col>
      <xdr:colOff>22488</xdr:colOff>
      <xdr:row>24</xdr:row>
      <xdr:rowOff>63499</xdr:rowOff>
    </xdr:from>
    <xdr:ext cx="751417" cy="1805781"/>
    <xdr:sp macro="" textlink="$Q$26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285801" y="4837905"/>
          <a:ext cx="751417" cy="18057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1777C565-625F-4798-802B-DD9BF4DEB229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one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B4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D9934684-4144-4361-A855-5F942AF9485E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'26.06.23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6</xdr:row>
      <xdr:rowOff>57150</xdr:rowOff>
    </xdr:from>
    <xdr:to>
      <xdr:col>5</xdr:col>
      <xdr:colOff>352425</xdr:colOff>
      <xdr:row>11</xdr:row>
      <xdr:rowOff>76200</xdr:rowOff>
    </xdr:to>
    <xdr:sp macro="[0]!PrintFile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3276600" y="108585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S18" sqref="S18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TEXT(data!B3,"yyyy")&amp;"年  "&amp;TEXT(data!B3,"m")&amp;"月  "&amp;TEXT(data!B3,"d")&amp;"日"</f>
        <v>2026年  6月  23日</v>
      </c>
    </row>
    <row r="2" spans="2:22" ht="18" customHeight="1" thickBot="1" x14ac:dyDescent="0.2">
      <c r="B2" s="21">
        <f>YEAR(data!B3)</f>
        <v>2026</v>
      </c>
      <c r="C2" s="28" t="s">
        <v>7</v>
      </c>
      <c r="D2" s="28" t="str">
        <f>MONTH(data!B3)&amp;"月"</f>
        <v>6月</v>
      </c>
      <c r="E2" s="28" t="str">
        <f>DAY(data!B3)&amp;"日"</f>
        <v>23日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"&amp;data!B5</f>
        <v>担当　：　前田　賢一</v>
      </c>
      <c r="O2" s="20"/>
      <c r="S2" t="str">
        <f>"    "&amp;S1&amp;VLOOKUP(data!B2,U4:V7,2,0)</f>
        <v xml:space="preserve">    2026年  6月  23日　  8 ： 30　～　10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"'"&amp;RIGHT(YEAR(data!B3),2)&amp;"."&amp;TEXT(MONTH(data!B3),"00")&amp;"."&amp;TEXT(DAY(data!B3),"00")</f>
        <v>'26.06.23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24</v>
      </c>
      <c r="V4" t="s">
        <v>28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25</v>
      </c>
      <c r="V5" t="s">
        <v>29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26</v>
      </c>
      <c r="V6" t="s">
        <v>30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27</v>
      </c>
      <c r="V7" t="s">
        <v>31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/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1:B5"/>
  <sheetViews>
    <sheetView workbookViewId="0">
      <selection activeCell="B2" sqref="B2"/>
    </sheetView>
  </sheetViews>
  <sheetFormatPr defaultRowHeight="13.5" x14ac:dyDescent="0.15"/>
  <cols>
    <col min="1" max="1" width="13.875" bestFit="1" customWidth="1"/>
  </cols>
  <sheetData>
    <row r="1" spans="1:2" x14ac:dyDescent="0.15">
      <c r="A1" t="s">
        <v>17</v>
      </c>
      <c r="B1" t="s">
        <v>32</v>
      </c>
    </row>
    <row r="2" spans="1:2" x14ac:dyDescent="0.15">
      <c r="A2" t="s">
        <v>18</v>
      </c>
      <c r="B2" t="s">
        <v>24</v>
      </c>
    </row>
    <row r="3" spans="1:2" x14ac:dyDescent="0.15">
      <c r="A3" t="s">
        <v>20</v>
      </c>
      <c r="B3" s="61">
        <v>46196</v>
      </c>
    </row>
    <row r="4" spans="1:2" x14ac:dyDescent="0.15">
      <c r="A4" t="s">
        <v>21</v>
      </c>
      <c r="B4" s="62" t="s">
        <v>19</v>
      </c>
    </row>
    <row r="5" spans="1:2" x14ac:dyDescent="0.15">
      <c r="A5" t="s">
        <v>22</v>
      </c>
      <c r="B5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2026-06-25T04:04:29Z</dcterms:modified>
</cp:coreProperties>
</file>