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1569\Desktop\quality control HQ\excel\"/>
    </mc:Choice>
  </mc:AlternateContent>
  <xr:revisionPtr revIDLastSave="0" documentId="13_ncr:1_{1A799445-850E-42BF-B51A-0089A019D115}" xr6:coauthVersionLast="47" xr6:coauthVersionMax="47" xr10:uidLastSave="{00000000-0000-0000-0000-000000000000}"/>
  <bookViews>
    <workbookView xWindow="-120" yWindow="-120" windowWidth="29040" windowHeight="15720" tabRatio="770" xr2:uid="{00000000-000D-0000-FFFF-FFFF00000000}"/>
  </bookViews>
  <sheets>
    <sheet name="daily" sheetId="6" r:id="rId1"/>
    <sheet name="data" sheetId="17" r:id="rId2"/>
  </sheets>
  <definedNames>
    <definedName name="_xlnm.Print_Area" localSheetId="0">daily!$A$1:$P$41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" i="6" l="1"/>
  <c r="E2" i="6"/>
  <c r="D2" i="6"/>
  <c r="B2" i="6"/>
  <c r="S3" i="6"/>
  <c r="S1" i="6"/>
  <c r="S2" i="6" s="1"/>
  <c r="O38" i="6" l="1"/>
  <c r="Q38" i="6"/>
  <c r="Q22" i="6" l="1"/>
  <c r="Q40" i="6" l="1"/>
  <c r="Q18" i="6" l="1"/>
  <c r="Q4" i="6"/>
  <c r="O9" i="6" s="1"/>
  <c r="Q35" i="6" l="1"/>
  <c r="Q26" i="6" l="1"/>
  <c r="O23" i="6" l="1"/>
  <c r="O19" i="6"/>
</calcChain>
</file>

<file path=xl/sharedStrings.xml><?xml version="1.0" encoding="utf-8"?>
<sst xmlns="http://schemas.openxmlformats.org/spreadsheetml/2006/main" count="41" uniqueCount="32">
  <si>
    <t>巡回検査日報</t>
    <rPh sb="0" eb="2">
      <t>ジュンカイ</t>
    </rPh>
    <rPh sb="2" eb="4">
      <t>ケンサ</t>
    </rPh>
    <rPh sb="4" eb="6">
      <t>ニッポウ</t>
    </rPh>
    <phoneticPr fontId="1"/>
  </si>
  <si>
    <t>巡回検査</t>
    <rPh sb="0" eb="2">
      <t>ジュンカイ</t>
    </rPh>
    <rPh sb="2" eb="4">
      <t>ケンサ</t>
    </rPh>
    <phoneticPr fontId="1"/>
  </si>
  <si>
    <t>合計件数</t>
    <rPh sb="0" eb="2">
      <t>ゴウケイ</t>
    </rPh>
    <rPh sb="2" eb="4">
      <t>ケンスウ</t>
    </rPh>
    <phoneticPr fontId="1"/>
  </si>
  <si>
    <t>8：30～10：00 （A）</t>
  </si>
  <si>
    <t>10：10～12：00 （B）</t>
  </si>
  <si>
    <t>12：45～14：45 （C）</t>
  </si>
  <si>
    <t>15：00～17：15 （D）</t>
  </si>
  <si>
    <t>年</t>
    <rPh sb="0" eb="1">
      <t>ネン</t>
    </rPh>
    <phoneticPr fontId="1"/>
  </si>
  <si>
    <t>プレス・2次加工</t>
    <rPh sb="5" eb="6">
      <t>ジ</t>
    </rPh>
    <rPh sb="6" eb="8">
      <t>カコウ</t>
    </rPh>
    <phoneticPr fontId="1"/>
  </si>
  <si>
    <t>製品検査(1)</t>
    <phoneticPr fontId="1"/>
  </si>
  <si>
    <t>製品検査(2)</t>
    <phoneticPr fontId="1"/>
  </si>
  <si>
    <t>工程内検査</t>
    <rPh sb="0" eb="5">
      <t>コウテイナイケンサ</t>
    </rPh>
    <phoneticPr fontId="1"/>
  </si>
  <si>
    <t>(自動機)</t>
    <rPh sb="1" eb="4">
      <t>ジドウキ</t>
    </rPh>
    <phoneticPr fontId="1"/>
  </si>
  <si>
    <t>(ECR/CB3/天板)</t>
    <phoneticPr fontId="1"/>
  </si>
  <si>
    <t>工程内検査</t>
    <phoneticPr fontId="1"/>
  </si>
  <si>
    <t>イベント</t>
    <phoneticPr fontId="1"/>
  </si>
  <si>
    <t>作業など</t>
    <rPh sb="0" eb="2">
      <t>サギョウ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</si>
  <si>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</si>
  <si>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</si>
  <si>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</si>
  <si>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</si>
  <si>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　  8 ： 30　～　10 ： 00</t>
    <phoneticPr fontId="1"/>
  </si>
  <si>
    <t>　 10 ： 10　～　12 ： 00</t>
    <phoneticPr fontId="1"/>
  </si>
  <si>
    <t>　 12 ： 45　～　14 ： 45</t>
    <phoneticPr fontId="1"/>
  </si>
  <si>
    <t>　 15 ： 00　～　17 ： 15</t>
    <phoneticPr fontId="1"/>
  </si>
  <si>
    <t>前田 賢一</t>
  </si>
  <si>
    <t>1-6</t>
  </si>
  <si>
    <t>\\192.168.1.210\@isk\★部門\④製造管理部\★品質保証\改正検査書\改正検査書\工程内検査\★new\★自動機(工程内検査)\CAP0044 (BA0989) T-12 バネ無.xls</t>
  </si>
  <si>
    <t>D</t>
  </si>
  <si>
    <t>\\192.168.1.210\@isk\★部門\④製造管理部\★品質保証\改正検査書\改正検査書\工程内検査\★new\★自動機(工程内検査)\CAS0050 (BA0990) T-12 プレートH(4H).xls</t>
  </si>
  <si>
    <t>\\192.168.1.210\@isk\★部門\④製造管理部\★品質保証\改正検査書\改正検査書\工程内検査\巡回検査\自動機\CBP0051 CBP0052 HD-38 組立.xls</t>
  </si>
  <si>
    <t>\\192.168.1.210\@isk\★部門\④製造管理部\★品質保証\改正検査書\改正検査書\工程内検査\★new\★自動機(工程内検査)\CDP0036 HR-290 着脱ホルダー(白) 自動機Ver.2.xls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</si>
</sst>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i/>
      <sz val="16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4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5" fillId="0" borderId="0"/>
  </cellStyleXfs>
  <cellXfs count="64">
    <xf numFmtId="0" fontId="0" fillId="0" borderId="0" xfId="0">
      <alignment vertical="center"/>
    </xf>
    <xf numFmtId="0" fontId="2" fillId="0" borderId="9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2" fillId="0" borderId="31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centerContinuous" vertical="center"/>
    </xf>
    <xf numFmtId="0" fontId="2" fillId="0" borderId="36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4" fillId="0" borderId="20" xfId="0" applyFont="1" applyBorder="1" applyAlignment="1">
      <alignment horizontal="left" vertical="center"/>
    </xf>
    <xf numFmtId="0" fontId="4" fillId="0" borderId="28" xfId="0" applyFont="1" applyBorder="1" applyAlignment="1">
      <alignment horizontal="left" vertical="center"/>
    </xf>
    <xf numFmtId="0" fontId="4" fillId="0" borderId="26" xfId="0" applyFont="1" applyBorder="1" applyAlignment="1">
      <alignment horizontal="left" vertical="center"/>
    </xf>
    <xf numFmtId="0" fontId="4" fillId="0" borderId="29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0" borderId="16" xfId="0" applyFont="1" applyBorder="1" applyAlignment="1">
      <alignment horizontal="left" vertical="center"/>
    </xf>
    <xf numFmtId="0" fontId="4" fillId="0" borderId="17" xfId="0" applyFont="1" applyBorder="1" applyAlignment="1">
      <alignment horizontal="left" vertical="center"/>
    </xf>
    <xf numFmtId="0" fontId="4" fillId="0" borderId="30" xfId="0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0" xfId="0" applyFont="1">
      <alignment vertical="center"/>
    </xf>
    <xf numFmtId="0" fontId="4" fillId="0" borderId="17" xfId="0" applyFont="1" applyBorder="1">
      <alignment vertical="center"/>
    </xf>
    <xf numFmtId="0" fontId="2" fillId="0" borderId="14" xfId="0" applyFont="1" applyBorder="1" applyAlignment="1">
      <alignment horizontal="center" vertical="center" wrapText="1"/>
    </xf>
    <xf numFmtId="0" fontId="4" fillId="0" borderId="38" xfId="0" applyFont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0" fontId="4" fillId="0" borderId="7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4" fillId="0" borderId="21" xfId="0" applyFont="1" applyBorder="1" applyAlignment="1">
      <alignment horizontal="left" vertical="center"/>
    </xf>
    <xf numFmtId="0" fontId="4" fillId="0" borderId="22" xfId="0" applyFont="1" applyBorder="1" applyAlignment="1">
      <alignment horizontal="left" vertical="center"/>
    </xf>
    <xf numFmtId="0" fontId="2" fillId="0" borderId="26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6" fillId="0" borderId="36" xfId="0" applyFont="1" applyBorder="1" applyAlignment="1">
      <alignment horizontal="center" vertical="center"/>
    </xf>
    <xf numFmtId="56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49" fontId="0" fillId="0" borderId="0" xfId="0" applyNumberFormat="1">
      <alignment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colors>
    <mruColors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14</xdr:row>
      <xdr:rowOff>11905</xdr:rowOff>
    </xdr:from>
    <xdr:to>
      <xdr:col>1</xdr:col>
      <xdr:colOff>971550</xdr:colOff>
      <xdr:row>15</xdr:row>
      <xdr:rowOff>214312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38125" y="3286124"/>
          <a:ext cx="876300" cy="4286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r>
            <a:rPr kumimoji="1" lang="ja-JP" altLang="en-US" sz="11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巡回検査状況</a:t>
          </a:r>
        </a:p>
      </xdr:txBody>
    </xdr:sp>
    <xdr:clientData/>
  </xdr:twoCellAnchor>
  <xdr:twoCellAnchor editAs="oneCell">
    <xdr:from>
      <xdr:col>14</xdr:col>
      <xdr:colOff>22488</xdr:colOff>
      <xdr:row>34</xdr:row>
      <xdr:rowOff>9525</xdr:rowOff>
    </xdr:from>
    <xdr:to>
      <xdr:col>15</xdr:col>
      <xdr:colOff>1323</xdr:colOff>
      <xdr:row>35</xdr:row>
      <xdr:rowOff>209550</xdr:rowOff>
    </xdr:to>
    <xdr:sp macro="" textlink="$Q$35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11285801" y="6510338"/>
          <a:ext cx="752741" cy="42624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fld id="{6CF94FEB-F0E0-492A-A8DB-AA8E04DE0FDC}" type="TxLink">
            <a:rPr kumimoji="1" lang="en-US" altLang="en-US" sz="1100" b="1" i="0" u="none" strike="noStrike">
              <a:solidFill>
                <a:srgbClr val="000000"/>
              </a:solidFill>
              <a:latin typeface="ＭＳ Ｐゴシック"/>
              <a:ea typeface="ＭＳ Ｐゴシック"/>
            </a:rPr>
            <a:pPr algn="ctr"/>
            <a:t>0</a:t>
          </a:fld>
          <a:endParaRPr kumimoji="1" lang="ja-JP" altLang="en-US" sz="1100" b="1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oneCellAnchor>
    <xdr:from>
      <xdr:col>14</xdr:col>
      <xdr:colOff>22488</xdr:colOff>
      <xdr:row>24</xdr:row>
      <xdr:rowOff>63499</xdr:rowOff>
    </xdr:from>
    <xdr:ext cx="751417" cy="1805781"/>
    <xdr:sp macro="" textlink="$Q$26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11285801" y="4837905"/>
          <a:ext cx="751417" cy="180578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fld id="{1777C565-625F-4798-802B-DD9BF4DEB229}" type="TxLink">
            <a:rPr kumimoji="1" lang="en-US" altLang="en-US" sz="1100" b="1" i="0" u="none" strike="noStrike">
              <a:solidFill>
                <a:srgbClr val="000000"/>
              </a:solidFill>
              <a:latin typeface="ＭＳ Ｐゴシック"/>
              <a:ea typeface="ＭＳ Ｐゴシック"/>
            </a:rPr>
            <a:pPr algn="ctr"/>
            <a:t>0</a:t>
          </a:fld>
          <a:endParaRPr kumimoji="1" lang="ja-JP" altLang="en-US" sz="1100" b="1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oneCellAnchor>
  <xdr:twoCellAnchor>
    <xdr:from>
      <xdr:col>17</xdr:col>
      <xdr:colOff>131233</xdr:colOff>
      <xdr:row>0</xdr:row>
      <xdr:rowOff>106098</xdr:rowOff>
    </xdr:from>
    <xdr:to>
      <xdr:col>17</xdr:col>
      <xdr:colOff>614471</xdr:colOff>
      <xdr:row>2</xdr:row>
      <xdr:rowOff>181769</xdr:rowOff>
    </xdr:to>
    <xdr:grpSp>
      <xdr:nvGrpSpPr>
        <xdr:cNvPr id="15" name="aaa">
          <a:extLst>
            <a:ext uri="{FF2B5EF4-FFF2-40B4-BE49-F238E27FC236}">
              <a16:creationId xmlns:a16="http://schemas.microsoft.com/office/drawing/2014/main" id="{00000000-0008-0000-0300-00000F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412133" y="106098"/>
          <a:ext cx="483238" cy="532871"/>
          <a:chOff x="6670902" y="1977118"/>
          <a:chExt cx="515711" cy="511628"/>
        </a:xfrm>
      </xdr:grpSpPr>
      <xdr:sp macro="" textlink="">
        <xdr:nvSpPr>
          <xdr:cNvPr id="16" name="楕円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/>
        </xdr:nvSpPr>
        <xdr:spPr>
          <a:xfrm>
            <a:off x="6670902" y="1977118"/>
            <a:ext cx="515711" cy="511628"/>
          </a:xfrm>
          <a:prstGeom prst="ellipse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直線コネクタ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CxnSpPr/>
        </xdr:nvCxnSpPr>
        <xdr:spPr>
          <a:xfrm>
            <a:off x="6681657" y="2145978"/>
            <a:ext cx="496661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直線コネクタ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CxnSpPr/>
        </xdr:nvCxnSpPr>
        <xdr:spPr>
          <a:xfrm>
            <a:off x="6681657" y="2321115"/>
            <a:ext cx="496661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" name="正方形/長方形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/>
        </xdr:nvSpPr>
        <xdr:spPr>
          <a:xfrm>
            <a:off x="6839345" y="1987390"/>
            <a:ext cx="168992" cy="16855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r>
              <a:rPr kumimoji="1" lang="ja-JP" altLang="en-US" sz="1200">
                <a:solidFill>
                  <a:sysClr val="windowText" lastClr="000000"/>
                </a:solidFill>
                <a:latin typeface="HG正楷書体-PRO" panose="03000600000000000000" pitchFamily="66" charset="-128"/>
                <a:ea typeface="HG正楷書体-PRO" panose="03000600000000000000" pitchFamily="66" charset="-128"/>
              </a:rPr>
              <a:t>検済</a:t>
            </a:r>
          </a:p>
        </xdr:txBody>
      </xdr:sp>
      <xdr:sp macro="" textlink="data!E2">
        <xdr:nvSpPr>
          <xdr:cNvPr id="20" name="正方形/長方形 1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/>
        </xdr:nvSpPr>
        <xdr:spPr>
          <a:xfrm>
            <a:off x="6839350" y="2311151"/>
            <a:ext cx="168992" cy="1685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fld id="{930610B5-3EF2-4B50-B2DF-2E42718A3C5B}" type="TxLink">
              <a:rPr kumimoji="1" lang="en-US" altLang="en-US" sz="1100" b="0" i="0" u="none" strike="noStrike">
                <a:solidFill>
                  <a:srgbClr val="000000"/>
                </a:solidFill>
                <a:latin typeface="BIZ UDPゴシック" panose="020B0400000000000000" pitchFamily="50" charset="-128"/>
                <a:ea typeface="BIZ UDPゴシック" panose="020B0400000000000000" pitchFamily="50" charset="-128"/>
              </a:rPr>
              <a:pPr algn="ctr"/>
              <a:t>1-6</a:t>
            </a:fld>
            <a:endParaRPr kumimoji="1" lang="ja-JP" altLang="en-US" sz="1000">
              <a:solidFill>
                <a:sysClr val="windowText" lastClr="000000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endParaRPr>
          </a:p>
        </xdr:txBody>
      </xdr:sp>
      <xdr:sp macro="" textlink="$S$3">
        <xdr:nvSpPr>
          <xdr:cNvPr id="21" name="正方形/長方形 2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/>
        </xdr:nvSpPr>
        <xdr:spPr>
          <a:xfrm>
            <a:off x="6697019" y="2145979"/>
            <a:ext cx="456716" cy="16899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fld id="{A1033B17-5713-4CE0-8A82-611CE5D22A7E}" type="TxLink">
              <a:rPr kumimoji="1" lang="en-US" altLang="en-US" sz="1100" b="0" i="0" u="none" strike="noStrike">
                <a:solidFill>
                  <a:srgbClr val="000000"/>
                </a:solidFill>
                <a:latin typeface="Bahnschrift Light SemiCondensed" panose="020B0502040204020203" pitchFamily="34" charset="0"/>
                <a:ea typeface="ＭＳ Ｐゴシック"/>
                <a:cs typeface="Arial" panose="020B0604020202020204" pitchFamily="34" charset="0"/>
              </a:rPr>
              <a:pPr algn="ctr"/>
              <a:t>'26.06.30</a:t>
            </a:fld>
            <a:endParaRPr kumimoji="1" lang="ja-JP" altLang="en-US" sz="700" b="0">
              <a:solidFill>
                <a:sysClr val="windowText" lastClr="000000"/>
              </a:solidFill>
              <a:latin typeface="Bahnschrift Light SemiCondensed" panose="020B0502040204020203" pitchFamily="34" charset="0"/>
              <a:ea typeface="HG正楷書体-PRO" panose="03000600000000000000" pitchFamily="66" charset="-128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17</xdr:col>
      <xdr:colOff>201611</xdr:colOff>
      <xdr:row>7</xdr:row>
      <xdr:rowOff>211932</xdr:rowOff>
    </xdr:from>
    <xdr:to>
      <xdr:col>18</xdr:col>
      <xdr:colOff>85882</xdr:colOff>
      <xdr:row>8</xdr:row>
      <xdr:rowOff>214313</xdr:rowOff>
    </xdr:to>
    <xdr:grpSp>
      <xdr:nvGrpSpPr>
        <xdr:cNvPr id="5" name="zzz">
          <a:extLst>
            <a:ext uri="{FF2B5EF4-FFF2-40B4-BE49-F238E27FC236}">
              <a16:creationId xmlns:a16="http://schemas.microsoft.com/office/drawing/2014/main" id="{00000000-0008-0000-0300-000005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482511" y="1812132"/>
          <a:ext cx="570071" cy="230981"/>
          <a:chOff x="18919031" y="154781"/>
          <a:chExt cx="605790" cy="228600"/>
        </a:xfrm>
      </xdr:grpSpPr>
      <xdr:sp macro="" textlink="">
        <xdr:nvSpPr>
          <xdr:cNvPr id="42" name="正方形/長方形 41">
            <a:extLst>
              <a:ext uri="{FF2B5EF4-FFF2-40B4-BE49-F238E27FC236}">
                <a16:creationId xmlns:a16="http://schemas.microsoft.com/office/drawing/2014/main" id="{00000000-0008-0000-0300-00002A000000}"/>
              </a:ext>
            </a:extLst>
          </xdr:cNvPr>
          <xdr:cNvSpPr/>
        </xdr:nvSpPr>
        <xdr:spPr>
          <a:xfrm>
            <a:off x="18919031" y="154781"/>
            <a:ext cx="605790" cy="22479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43" name="楕円 42">
            <a:extLst>
              <a:ext uri="{FF2B5EF4-FFF2-40B4-BE49-F238E27FC236}">
                <a16:creationId xmlns:a16="http://schemas.microsoft.com/office/drawing/2014/main" id="{00000000-0008-0000-0300-00002B000000}"/>
              </a:ext>
            </a:extLst>
          </xdr:cNvPr>
          <xdr:cNvSpPr/>
        </xdr:nvSpPr>
        <xdr:spPr>
          <a:xfrm>
            <a:off x="18964751" y="166211"/>
            <a:ext cx="217170" cy="217170"/>
          </a:xfrm>
          <a:prstGeom prst="ellipse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17</xdr:col>
      <xdr:colOff>94456</xdr:colOff>
      <xdr:row>6</xdr:row>
      <xdr:rowOff>23020</xdr:rowOff>
    </xdr:from>
    <xdr:to>
      <xdr:col>18</xdr:col>
      <xdr:colOff>562134</xdr:colOff>
      <xdr:row>7</xdr:row>
      <xdr:rowOff>21591</xdr:rowOff>
    </xdr:to>
    <xdr:grpSp>
      <xdr:nvGrpSpPr>
        <xdr:cNvPr id="44" name="yyy">
          <a:extLst>
            <a:ext uri="{FF2B5EF4-FFF2-40B4-BE49-F238E27FC236}">
              <a16:creationId xmlns:a16="http://schemas.microsoft.com/office/drawing/2014/main" id="{00000000-0008-0000-0300-00002C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375356" y="1394620"/>
          <a:ext cx="1153478" cy="227171"/>
          <a:chOff x="15490031" y="11906"/>
          <a:chExt cx="1224915" cy="224790"/>
        </a:xfrm>
      </xdr:grpSpPr>
      <xdr:sp macro="" textlink="">
        <xdr:nvSpPr>
          <xdr:cNvPr id="45" name="正方形/長方形 44">
            <a:extLst>
              <a:ext uri="{FF2B5EF4-FFF2-40B4-BE49-F238E27FC236}">
                <a16:creationId xmlns:a16="http://schemas.microsoft.com/office/drawing/2014/main" id="{00000000-0008-0000-0300-00002D000000}"/>
              </a:ext>
            </a:extLst>
          </xdr:cNvPr>
          <xdr:cNvSpPr/>
        </xdr:nvSpPr>
        <xdr:spPr>
          <a:xfrm>
            <a:off x="15490031" y="11906"/>
            <a:ext cx="1224915" cy="22479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46" name="楕円 45">
            <a:extLst>
              <a:ext uri="{FF2B5EF4-FFF2-40B4-BE49-F238E27FC236}">
                <a16:creationId xmlns:a16="http://schemas.microsoft.com/office/drawing/2014/main" id="{00000000-0008-0000-0300-00002E000000}"/>
              </a:ext>
            </a:extLst>
          </xdr:cNvPr>
          <xdr:cNvSpPr/>
        </xdr:nvSpPr>
        <xdr:spPr>
          <a:xfrm>
            <a:off x="16183451" y="18574"/>
            <a:ext cx="217170" cy="217170"/>
          </a:xfrm>
          <a:prstGeom prst="ellipse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17</xdr:col>
      <xdr:colOff>189705</xdr:colOff>
      <xdr:row>4</xdr:row>
      <xdr:rowOff>72231</xdr:rowOff>
    </xdr:from>
    <xdr:to>
      <xdr:col>18</xdr:col>
      <xdr:colOff>377825</xdr:colOff>
      <xdr:row>5</xdr:row>
      <xdr:rowOff>70802</xdr:rowOff>
    </xdr:to>
    <xdr:grpSp>
      <xdr:nvGrpSpPr>
        <xdr:cNvPr id="47" name="xxx">
          <a:extLst>
            <a:ext uri="{FF2B5EF4-FFF2-40B4-BE49-F238E27FC236}">
              <a16:creationId xmlns:a16="http://schemas.microsoft.com/office/drawing/2014/main" id="{00000000-0008-0000-0300-00002F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470605" y="986631"/>
          <a:ext cx="873920" cy="227171"/>
          <a:chOff x="1523999" y="1376363"/>
          <a:chExt cx="909639" cy="224790"/>
        </a:xfrm>
      </xdr:grpSpPr>
      <xdr:sp macro="" textlink="">
        <xdr:nvSpPr>
          <xdr:cNvPr id="48" name="正方形/長方形 47">
            <a:extLst>
              <a:ext uri="{FF2B5EF4-FFF2-40B4-BE49-F238E27FC236}">
                <a16:creationId xmlns:a16="http://schemas.microsoft.com/office/drawing/2014/main" id="{00000000-0008-0000-0300-000030000000}"/>
              </a:ext>
            </a:extLst>
          </xdr:cNvPr>
          <xdr:cNvSpPr/>
        </xdr:nvSpPr>
        <xdr:spPr>
          <a:xfrm>
            <a:off x="1523999" y="1376363"/>
            <a:ext cx="909639" cy="22479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49" name="直線コネクタ 48">
            <a:extLst>
              <a:ext uri="{FF2B5EF4-FFF2-40B4-BE49-F238E27FC236}">
                <a16:creationId xmlns:a16="http://schemas.microsoft.com/office/drawing/2014/main" id="{00000000-0008-0000-0300-000031000000}"/>
              </a:ext>
            </a:extLst>
          </xdr:cNvPr>
          <xdr:cNvCxnSpPr/>
        </xdr:nvCxnSpPr>
        <xdr:spPr>
          <a:xfrm>
            <a:off x="1590675" y="1462088"/>
            <a:ext cx="61913" cy="95250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直線コネクタ 49">
            <a:extLst>
              <a:ext uri="{FF2B5EF4-FFF2-40B4-BE49-F238E27FC236}">
                <a16:creationId xmlns:a16="http://schemas.microsoft.com/office/drawing/2014/main" id="{00000000-0008-0000-0300-000032000000}"/>
              </a:ext>
            </a:extLst>
          </xdr:cNvPr>
          <xdr:cNvCxnSpPr/>
        </xdr:nvCxnSpPr>
        <xdr:spPr>
          <a:xfrm flipV="1">
            <a:off x="1647825" y="1381126"/>
            <a:ext cx="104775" cy="187324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13</xdr:col>
      <xdr:colOff>832114</xdr:colOff>
      <xdr:row>39</xdr:row>
      <xdr:rowOff>0</xdr:rowOff>
    </xdr:from>
    <xdr:to>
      <xdr:col>14</xdr:col>
      <xdr:colOff>751417</xdr:colOff>
      <xdr:row>40</xdr:row>
      <xdr:rowOff>200024</xdr:rowOff>
    </xdr:to>
    <xdr:sp macro="" textlink="$Q$40">
      <xdr:nvSpPr>
        <xdr:cNvPr id="12" name="正方形/長方形 11">
          <a:extLst>
            <a:ext uri="{FF2B5EF4-FFF2-40B4-BE49-F238E27FC236}">
              <a16:creationId xmlns:a16="http://schemas.microsoft.com/office/drawing/2014/main" id="{479B8701-26AD-B787-B699-9063D955EECA}"/>
            </a:ext>
          </a:extLst>
        </xdr:cNvPr>
        <xdr:cNvSpPr/>
      </xdr:nvSpPr>
      <xdr:spPr>
        <a:xfrm>
          <a:off x="11261989" y="7546182"/>
          <a:ext cx="752741" cy="42624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fld id="{F958B644-2F13-4FC7-A6F5-A4A65DD0309A}" type="TxLink">
            <a:rPr kumimoji="1" lang="en-US" altLang="en-US" sz="1100" b="1" i="0" u="none" strike="noStrike">
              <a:solidFill>
                <a:srgbClr val="000000"/>
              </a:solidFill>
              <a:latin typeface="ＭＳ Ｐゴシック"/>
              <a:ea typeface="ＭＳ Ｐゴシック"/>
            </a:rPr>
            <a:pPr algn="ctr"/>
            <a:t>0</a:t>
          </a:fld>
          <a:endParaRPr kumimoji="1" lang="ja-JP" altLang="en-US" sz="1100" b="1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304800</xdr:colOff>
      <xdr:row>0</xdr:row>
      <xdr:rowOff>152400</xdr:rowOff>
    </xdr:from>
    <xdr:to>
      <xdr:col>8</xdr:col>
      <xdr:colOff>495300</xdr:colOff>
      <xdr:row>6</xdr:row>
      <xdr:rowOff>0</xdr:rowOff>
    </xdr:to>
    <xdr:sp macro="[0]!RunBatch" textlink="">
      <xdr:nvSpPr>
        <xdr:cNvPr id="2" name="楕円 1">
          <a:extLst>
            <a:ext uri="{FF2B5EF4-FFF2-40B4-BE49-F238E27FC236}">
              <a16:creationId xmlns:a16="http://schemas.microsoft.com/office/drawing/2014/main" id="{2A34C468-AC56-B1D7-BC65-A8F687553371}"/>
            </a:ext>
          </a:extLst>
        </xdr:cNvPr>
        <xdr:cNvSpPr/>
      </xdr:nvSpPr>
      <xdr:spPr>
        <a:xfrm>
          <a:off x="16649700" y="152400"/>
          <a:ext cx="876300" cy="876300"/>
        </a:xfrm>
        <a:prstGeom prst="ellipse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endParaRPr kumimoji="1" lang="ja-JP" altLang="en-US" sz="1100" b="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ysClr val="window" lastClr="FFFFFF"/>
        </a:solidFill>
        <a:ln w="12700">
          <a:solidFill>
            <a:sysClr val="windowText" lastClr="000000"/>
          </a:solidFill>
        </a:ln>
      </a:spPr>
      <a:bodyPr vertOverflow="overflow" horzOverflow="overflow" wrap="none" rtlCol="0" anchor="ctr"/>
      <a:lstStyle>
        <a:defPPr algn="ctr">
          <a:defRPr kumimoji="1" sz="1100" b="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E17591B-5609-489A-8EE0-BEE03780FA16}">
  <we:reference id="wa200003696" version="1.3.0.0" store="ja-JP" storeType="OMEX"/>
  <we:alternateReferences>
    <we:reference id="WA200003696" version="1.3.0.0" store="WA200003696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FFFF00"/>
    <pageSetUpPr fitToPage="1"/>
  </sheetPr>
  <dimension ref="B1:V97"/>
  <sheetViews>
    <sheetView tabSelected="1" view="pageBreakPreview" zoomScale="75" zoomScaleNormal="100" zoomScaleSheetLayoutView="75" workbookViewId="0">
      <selection activeCell="W24" sqref="W24"/>
    </sheetView>
  </sheetViews>
  <sheetFormatPr defaultRowHeight="15" customHeight="1" x14ac:dyDescent="0.15"/>
  <cols>
    <col min="1" max="1" width="1.875" style="27" customWidth="1"/>
    <col min="2" max="2" width="14.75" style="27" customWidth="1"/>
    <col min="3" max="14" width="10.875" style="27" customWidth="1"/>
    <col min="15" max="15" width="10.125" style="27" customWidth="1"/>
    <col min="16" max="16" width="1.875" style="27" customWidth="1"/>
    <col min="17" max="17" width="2.5" style="27" customWidth="1"/>
    <col min="18" max="16384" width="9" style="27"/>
  </cols>
  <sheetData>
    <row r="1" spans="2:22" ht="18" customHeight="1" x14ac:dyDescent="0.15">
      <c r="B1" s="19"/>
      <c r="C1" s="19"/>
      <c r="D1" s="19"/>
      <c r="E1" s="19"/>
      <c r="F1" s="19"/>
      <c r="G1" s="19"/>
      <c r="H1" s="29" t="s">
        <v>0</v>
      </c>
      <c r="I1" s="29"/>
      <c r="J1" s="19"/>
      <c r="K1" s="19"/>
      <c r="L1" s="19"/>
      <c r="M1" s="19"/>
      <c r="N1" s="19"/>
      <c r="O1" s="19"/>
      <c r="S1" t="str">
        <f>TEXT(data!D2,"yyyy")&amp;"年  "&amp;TEXT(data!D2,"m")&amp;"月  "&amp;TEXT(data!D2,"d")&amp;"日"</f>
        <v>2026年  6月  30日</v>
      </c>
    </row>
    <row r="2" spans="2:22" ht="18" customHeight="1" thickBot="1" x14ac:dyDescent="0.2">
      <c r="B2" s="21">
        <f>YEAR(data!D2)</f>
        <v>2026</v>
      </c>
      <c r="C2" s="28" t="s">
        <v>7</v>
      </c>
      <c r="D2" s="28" t="str">
        <f>MONTH(data!D2)&amp;"月"</f>
        <v>6月</v>
      </c>
      <c r="E2" s="28" t="str">
        <f>DAY(data!D2)&amp;"日"</f>
        <v>30日</v>
      </c>
      <c r="F2" s="14"/>
      <c r="G2" s="14"/>
      <c r="H2" s="14"/>
      <c r="I2" s="14"/>
      <c r="J2" s="14"/>
      <c r="K2" s="14"/>
      <c r="L2" s="14"/>
      <c r="M2" s="14"/>
      <c r="N2" s="20" t="str">
        <f>"担当　：　"&amp;data!F2</f>
        <v>担当　：　前田 賢一</v>
      </c>
      <c r="O2" s="20"/>
      <c r="S2" t="str">
        <f>"    "&amp;S1&amp;VLOOKUP(data!B2,U4:V7,2,0)</f>
        <v xml:space="preserve">    2026年  6月  30日　 15 ： 00　～　17 ： 15</v>
      </c>
    </row>
    <row r="3" spans="2:22" ht="18" customHeight="1" x14ac:dyDescent="0.15">
      <c r="B3" s="13"/>
      <c r="C3" s="10"/>
      <c r="D3" s="11" t="s">
        <v>3</v>
      </c>
      <c r="E3" s="12"/>
      <c r="F3" s="10"/>
      <c r="G3" s="11" t="s">
        <v>4</v>
      </c>
      <c r="H3" s="12"/>
      <c r="I3" s="10"/>
      <c r="J3" s="11" t="s">
        <v>5</v>
      </c>
      <c r="K3" s="12"/>
      <c r="L3" s="10"/>
      <c r="M3" s="11" t="s">
        <v>6</v>
      </c>
      <c r="N3" s="12"/>
      <c r="O3" s="1" t="s">
        <v>2</v>
      </c>
      <c r="S3" s="27" t="str">
        <f>"'"&amp;RIGHT(YEAR(data!D2),2)&amp;"."&amp;TEXT(MONTH(data!D2),"00")&amp;"."&amp;TEXT(DAY(data!D2),"00")</f>
        <v>'26.06.30</v>
      </c>
    </row>
    <row r="4" spans="2:22" ht="18" customHeight="1" x14ac:dyDescent="0.15">
      <c r="B4" s="16"/>
      <c r="C4" s="33"/>
      <c r="D4" s="8"/>
      <c r="E4" s="9"/>
      <c r="F4" s="33"/>
      <c r="G4" s="8"/>
      <c r="H4" s="9"/>
      <c r="I4" s="33"/>
      <c r="J4" s="8"/>
      <c r="K4" s="9"/>
      <c r="L4" s="33"/>
      <c r="M4" s="8"/>
      <c r="N4" s="9"/>
      <c r="O4" s="18"/>
      <c r="Q4" s="27">
        <f>44-COUNTIF(C4:C14,"")-COUNTIF(F4:F14,"")-COUNTIF(I4:I14,"")-COUNTIF(L4:L14,"")</f>
        <v>0</v>
      </c>
      <c r="U4" t="s">
        <v>17</v>
      </c>
      <c r="V4" t="s">
        <v>21</v>
      </c>
    </row>
    <row r="5" spans="2:22" ht="18" customHeight="1" x14ac:dyDescent="0.15">
      <c r="B5" s="17"/>
      <c r="C5" s="33"/>
      <c r="D5" s="8"/>
      <c r="E5" s="9"/>
      <c r="F5" s="33"/>
      <c r="G5" s="8"/>
      <c r="H5" s="9"/>
      <c r="I5" s="33"/>
      <c r="J5" s="8"/>
      <c r="K5" s="9"/>
      <c r="L5" s="33"/>
      <c r="M5" s="8"/>
      <c r="N5" s="9"/>
      <c r="O5" s="6"/>
      <c r="U5" t="s">
        <v>18</v>
      </c>
      <c r="V5" t="s">
        <v>22</v>
      </c>
    </row>
    <row r="6" spans="2:22" ht="18" customHeight="1" x14ac:dyDescent="0.15">
      <c r="B6" s="17"/>
      <c r="C6" s="33"/>
      <c r="D6" s="8"/>
      <c r="E6" s="9"/>
      <c r="F6" s="33"/>
      <c r="G6" s="8"/>
      <c r="H6" s="9"/>
      <c r="I6" s="33"/>
      <c r="J6" s="8"/>
      <c r="K6" s="9"/>
      <c r="L6" s="33"/>
      <c r="M6" s="8"/>
      <c r="N6" s="9"/>
      <c r="O6" s="6"/>
      <c r="U6" t="s">
        <v>19</v>
      </c>
      <c r="V6" t="s">
        <v>23</v>
      </c>
    </row>
    <row r="7" spans="2:22" ht="18" customHeight="1" x14ac:dyDescent="0.15">
      <c r="B7" s="17"/>
      <c r="C7" s="33"/>
      <c r="D7" s="8"/>
      <c r="E7" s="9"/>
      <c r="F7" s="33"/>
      <c r="G7" s="8"/>
      <c r="H7" s="9"/>
      <c r="I7" s="33"/>
      <c r="J7" s="8"/>
      <c r="K7" s="9"/>
      <c r="L7" s="33"/>
      <c r="M7" s="8"/>
      <c r="N7" s="9"/>
      <c r="O7" s="6"/>
      <c r="U7" t="s">
        <v>20</v>
      </c>
      <c r="V7" t="s">
        <v>24</v>
      </c>
    </row>
    <row r="8" spans="2:22" ht="18" customHeight="1" x14ac:dyDescent="0.15">
      <c r="B8" s="17"/>
      <c r="C8" s="33"/>
      <c r="D8" s="8"/>
      <c r="E8" s="9"/>
      <c r="F8" s="33"/>
      <c r="G8" s="8"/>
      <c r="H8" s="9"/>
      <c r="I8" s="33"/>
      <c r="J8" s="8"/>
      <c r="K8" s="9"/>
      <c r="L8" s="33"/>
      <c r="M8" s="8"/>
      <c r="N8" s="9"/>
      <c r="O8" s="6"/>
    </row>
    <row r="9" spans="2:22" ht="18" customHeight="1" x14ac:dyDescent="0.15">
      <c r="B9" s="17" t="s">
        <v>1</v>
      </c>
      <c r="C9" s="33"/>
      <c r="D9" s="8"/>
      <c r="E9" s="9"/>
      <c r="F9" s="33"/>
      <c r="G9" s="8"/>
      <c r="H9" s="9"/>
      <c r="I9" s="33"/>
      <c r="J9" s="8"/>
      <c r="K9" s="9"/>
      <c r="L9" s="33"/>
      <c r="M9" s="8"/>
      <c r="N9" s="9"/>
      <c r="O9" s="6">
        <f>Q4</f>
        <v>0</v>
      </c>
    </row>
    <row r="10" spans="2:22" ht="18" customHeight="1" x14ac:dyDescent="0.15">
      <c r="B10" s="17"/>
      <c r="C10" s="33"/>
      <c r="D10" s="8"/>
      <c r="E10" s="9"/>
      <c r="F10" s="33"/>
      <c r="G10" s="8"/>
      <c r="H10" s="9"/>
      <c r="I10" s="33"/>
      <c r="J10" s="8"/>
      <c r="K10" s="9"/>
      <c r="L10" s="33"/>
      <c r="M10" s="8"/>
      <c r="N10" s="9"/>
      <c r="O10" s="6"/>
    </row>
    <row r="11" spans="2:22" ht="18" customHeight="1" x14ac:dyDescent="0.15">
      <c r="B11" s="17"/>
      <c r="C11" s="33"/>
      <c r="D11" s="8"/>
      <c r="E11" s="9"/>
      <c r="F11" s="33"/>
      <c r="G11" s="8"/>
      <c r="H11" s="9"/>
      <c r="I11" s="33"/>
      <c r="J11" s="8"/>
      <c r="K11" s="9"/>
      <c r="L11" s="33"/>
      <c r="M11" s="8"/>
      <c r="N11" s="9"/>
      <c r="O11" s="6"/>
    </row>
    <row r="12" spans="2:22" ht="18" customHeight="1" x14ac:dyDescent="0.15">
      <c r="B12" s="17"/>
      <c r="C12" s="33"/>
      <c r="D12" s="8"/>
      <c r="E12" s="9"/>
      <c r="F12" s="33"/>
      <c r="G12" s="8"/>
      <c r="H12" s="9"/>
      <c r="I12" s="33"/>
      <c r="J12" s="8"/>
      <c r="K12" s="9"/>
      <c r="L12" s="33"/>
      <c r="M12" s="8"/>
      <c r="N12" s="9"/>
      <c r="O12" s="6"/>
    </row>
    <row r="13" spans="2:22" ht="18" customHeight="1" x14ac:dyDescent="0.15">
      <c r="B13" s="17"/>
      <c r="C13" s="33"/>
      <c r="D13" s="8"/>
      <c r="E13" s="9"/>
      <c r="F13" s="33"/>
      <c r="G13" s="8"/>
      <c r="H13" s="9"/>
      <c r="I13" s="33"/>
      <c r="J13" s="8"/>
      <c r="K13" s="9"/>
      <c r="L13" s="33"/>
      <c r="M13" s="8"/>
      <c r="N13" s="9"/>
      <c r="O13" s="6"/>
    </row>
    <row r="14" spans="2:22" ht="18" customHeight="1" x14ac:dyDescent="0.15">
      <c r="B14" s="50"/>
      <c r="C14" s="33"/>
      <c r="D14" s="8"/>
      <c r="E14" s="9"/>
      <c r="F14" s="33"/>
      <c r="G14" s="8"/>
      <c r="H14" s="9"/>
      <c r="I14" s="33"/>
      <c r="J14" s="8"/>
      <c r="K14" s="9"/>
      <c r="L14" s="33"/>
      <c r="M14" s="8"/>
      <c r="N14" s="9"/>
      <c r="O14" s="51"/>
    </row>
    <row r="15" spans="2:22" ht="18" customHeight="1" x14ac:dyDescent="0.15">
      <c r="B15" s="17"/>
      <c r="C15" s="39"/>
      <c r="D15" s="43"/>
      <c r="E15" s="43"/>
      <c r="F15" s="48"/>
      <c r="G15" s="43"/>
      <c r="H15" s="43"/>
      <c r="I15" s="43"/>
      <c r="J15" s="43"/>
      <c r="K15" s="43"/>
      <c r="L15" s="43"/>
      <c r="M15" s="43"/>
      <c r="N15" s="43"/>
      <c r="O15" s="44"/>
    </row>
    <row r="16" spans="2:22" ht="18" customHeight="1" thickBot="1" x14ac:dyDescent="0.2">
      <c r="B16" s="30"/>
      <c r="C16" s="45"/>
      <c r="D16" s="46"/>
      <c r="E16" s="46"/>
      <c r="F16" s="49"/>
      <c r="G16" s="46"/>
      <c r="H16" s="46"/>
      <c r="I16" s="46"/>
      <c r="J16" s="46"/>
      <c r="K16" s="46"/>
      <c r="L16" s="46"/>
      <c r="M16" s="46"/>
      <c r="N16" s="46"/>
      <c r="O16" s="47"/>
    </row>
    <row r="17" spans="2:17" ht="6" customHeight="1" thickBot="1" x14ac:dyDescent="0.2">
      <c r="B17" s="2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5"/>
    </row>
    <row r="18" spans="2:17" ht="18" customHeight="1" x14ac:dyDescent="0.15">
      <c r="B18" s="31"/>
      <c r="C18" s="34"/>
      <c r="D18" s="53"/>
      <c r="E18" s="54"/>
      <c r="F18" s="34"/>
      <c r="G18" s="53"/>
      <c r="H18" s="54"/>
      <c r="I18" s="34"/>
      <c r="J18" s="53"/>
      <c r="K18" s="54"/>
      <c r="L18" s="34"/>
      <c r="M18" s="53"/>
      <c r="N18" s="54"/>
      <c r="O18" s="5"/>
      <c r="Q18" s="27">
        <f>12-COUNTIF(C18:C20,"")-COUNTIF(F18:F20,"")-COUNTIF(I18:I20,"")-COUNTIF(L18:L20,"")</f>
        <v>0</v>
      </c>
    </row>
    <row r="19" spans="2:17" ht="18" customHeight="1" x14ac:dyDescent="0.15">
      <c r="B19" s="17" t="s">
        <v>9</v>
      </c>
      <c r="C19" s="33"/>
      <c r="D19" s="58"/>
      <c r="E19" s="59"/>
      <c r="F19" s="33"/>
      <c r="G19" s="58"/>
      <c r="H19" s="59"/>
      <c r="I19" s="33"/>
      <c r="J19" s="58"/>
      <c r="K19" s="59"/>
      <c r="L19" s="33"/>
      <c r="M19" s="58"/>
      <c r="N19" s="59"/>
      <c r="O19" s="6">
        <f>Q18</f>
        <v>0</v>
      </c>
    </row>
    <row r="20" spans="2:17" ht="18" customHeight="1" thickBot="1" x14ac:dyDescent="0.2">
      <c r="B20" s="30"/>
      <c r="C20" s="35"/>
      <c r="D20" s="55"/>
      <c r="E20" s="56"/>
      <c r="F20" s="35"/>
      <c r="G20" s="55"/>
      <c r="H20" s="56"/>
      <c r="I20" s="35"/>
      <c r="J20" s="55"/>
      <c r="K20" s="56"/>
      <c r="L20" s="35"/>
      <c r="M20" s="55"/>
      <c r="N20" s="56"/>
      <c r="O20" s="7"/>
    </row>
    <row r="21" spans="2:17" ht="6" customHeight="1" thickBot="1" x14ac:dyDescent="0.2">
      <c r="B21" s="3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4"/>
    </row>
    <row r="22" spans="2:17" ht="18" customHeight="1" x14ac:dyDescent="0.15">
      <c r="B22" s="31"/>
      <c r="C22" s="34"/>
      <c r="D22" s="53"/>
      <c r="E22" s="54"/>
      <c r="F22" s="34"/>
      <c r="G22" s="53"/>
      <c r="H22" s="54"/>
      <c r="I22" s="34"/>
      <c r="J22" s="53"/>
      <c r="K22" s="54"/>
      <c r="L22" s="34"/>
      <c r="M22" s="53"/>
      <c r="N22" s="54"/>
      <c r="O22" s="5"/>
      <c r="Q22" s="27">
        <f>12-COUNTIF(C22:C24,"")-COUNTIF(F22:F24,"")-COUNTIF(I22:I24,"")-COUNTIF(L22:L24,"")</f>
        <v>0</v>
      </c>
    </row>
    <row r="23" spans="2:17" ht="18" customHeight="1" x14ac:dyDescent="0.15">
      <c r="B23" s="17" t="s">
        <v>10</v>
      </c>
      <c r="C23" s="33"/>
      <c r="D23" s="58"/>
      <c r="E23" s="59"/>
      <c r="F23" s="33"/>
      <c r="G23" s="58"/>
      <c r="H23" s="59"/>
      <c r="I23" s="33"/>
      <c r="J23" s="58"/>
      <c r="K23" s="59"/>
      <c r="L23" s="33"/>
      <c r="M23" s="58"/>
      <c r="N23" s="59"/>
      <c r="O23" s="6">
        <f>Q22</f>
        <v>0</v>
      </c>
    </row>
    <row r="24" spans="2:17" ht="18" customHeight="1" thickBot="1" x14ac:dyDescent="0.2">
      <c r="B24" s="30"/>
      <c r="C24" s="35"/>
      <c r="D24" s="55"/>
      <c r="E24" s="56"/>
      <c r="F24" s="35"/>
      <c r="G24" s="55"/>
      <c r="H24" s="56"/>
      <c r="I24" s="35"/>
      <c r="J24" s="55"/>
      <c r="K24" s="56"/>
      <c r="L24" s="35"/>
      <c r="M24" s="55"/>
      <c r="N24" s="56"/>
      <c r="O24" s="7"/>
    </row>
    <row r="25" spans="2:17" ht="6" customHeight="1" thickBot="1" x14ac:dyDescent="0.2">
      <c r="B25" s="2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15"/>
    </row>
    <row r="26" spans="2:17" ht="18" customHeight="1" x14ac:dyDescent="0.15">
      <c r="B26" s="31"/>
      <c r="C26" s="34"/>
      <c r="D26" s="53"/>
      <c r="E26" s="54"/>
      <c r="F26" s="34"/>
      <c r="G26" s="53"/>
      <c r="H26" s="54"/>
      <c r="I26" s="34"/>
      <c r="J26" s="53"/>
      <c r="K26" s="54"/>
      <c r="L26" s="34"/>
      <c r="M26" s="53"/>
      <c r="N26" s="54"/>
      <c r="O26" s="5"/>
      <c r="Q26" s="27">
        <f>32-COUNTIF(C26:C33,"")-COUNTIF(F26:F33,"")-COUNTIF(I26:I33,"")-COUNTIF(L26:L33,"")</f>
        <v>0</v>
      </c>
    </row>
    <row r="27" spans="2:17" ht="18" customHeight="1" x14ac:dyDescent="0.15">
      <c r="B27" s="17"/>
      <c r="C27" s="33"/>
      <c r="D27" s="58"/>
      <c r="E27" s="59"/>
      <c r="F27" s="33"/>
      <c r="G27" s="58"/>
      <c r="H27" s="59"/>
      <c r="I27" s="33"/>
      <c r="J27" s="58"/>
      <c r="K27" s="59"/>
      <c r="L27" s="33"/>
      <c r="M27" s="58"/>
      <c r="N27" s="59"/>
      <c r="O27" s="6"/>
    </row>
    <row r="28" spans="2:17" ht="18" customHeight="1" x14ac:dyDescent="0.15">
      <c r="B28" s="17"/>
      <c r="C28" s="33"/>
      <c r="D28" s="58"/>
      <c r="E28" s="59"/>
      <c r="F28" s="33"/>
      <c r="G28" s="58"/>
      <c r="H28" s="59"/>
      <c r="I28" s="33"/>
      <c r="J28" s="58"/>
      <c r="K28" s="59"/>
      <c r="L28" s="33"/>
      <c r="M28" s="58"/>
      <c r="N28" s="59"/>
      <c r="O28" s="6"/>
    </row>
    <row r="29" spans="2:17" ht="18" customHeight="1" x14ac:dyDescent="0.15">
      <c r="B29" s="17" t="s">
        <v>11</v>
      </c>
      <c r="C29" s="33"/>
      <c r="D29" s="58"/>
      <c r="E29" s="59"/>
      <c r="F29" s="33"/>
      <c r="G29" s="58"/>
      <c r="H29" s="59"/>
      <c r="I29" s="33"/>
      <c r="J29" s="58"/>
      <c r="K29" s="59"/>
      <c r="L29" s="33"/>
      <c r="M29" s="58"/>
      <c r="N29" s="59"/>
      <c r="O29" s="6"/>
    </row>
    <row r="30" spans="2:17" ht="18" customHeight="1" x14ac:dyDescent="0.15">
      <c r="B30" s="17" t="s">
        <v>12</v>
      </c>
      <c r="C30" s="33"/>
      <c r="D30" s="58"/>
      <c r="E30" s="59"/>
      <c r="F30" s="33"/>
      <c r="G30" s="58"/>
      <c r="H30" s="59"/>
      <c r="I30" s="33"/>
      <c r="J30" s="58"/>
      <c r="K30" s="59"/>
      <c r="L30" s="33"/>
      <c r="M30" s="58"/>
      <c r="N30" s="59"/>
      <c r="O30" s="6"/>
    </row>
    <row r="31" spans="2:17" ht="18" customHeight="1" x14ac:dyDescent="0.15">
      <c r="B31" s="17"/>
      <c r="C31" s="33"/>
      <c r="D31" s="58"/>
      <c r="E31" s="59"/>
      <c r="F31" s="33"/>
      <c r="G31" s="58"/>
      <c r="H31" s="59"/>
      <c r="I31" s="33"/>
      <c r="J31" s="58"/>
      <c r="K31" s="59"/>
      <c r="L31" s="33"/>
      <c r="M31" s="58"/>
      <c r="N31" s="59"/>
      <c r="O31" s="6"/>
    </row>
    <row r="32" spans="2:17" ht="18" customHeight="1" x14ac:dyDescent="0.15">
      <c r="B32" s="17"/>
      <c r="C32" s="33"/>
      <c r="D32" s="58"/>
      <c r="E32" s="59"/>
      <c r="F32" s="33"/>
      <c r="G32" s="58"/>
      <c r="H32" s="59"/>
      <c r="I32" s="33"/>
      <c r="J32" s="58"/>
      <c r="K32" s="59"/>
      <c r="L32" s="33"/>
      <c r="M32" s="58"/>
      <c r="N32" s="59"/>
      <c r="O32" s="6"/>
    </row>
    <row r="33" spans="2:17" ht="18" customHeight="1" thickBot="1" x14ac:dyDescent="0.2">
      <c r="B33" s="30"/>
      <c r="C33" s="35"/>
      <c r="D33" s="55"/>
      <c r="E33" s="56"/>
      <c r="F33" s="35"/>
      <c r="G33" s="55"/>
      <c r="H33" s="56"/>
      <c r="I33" s="35"/>
      <c r="J33" s="55"/>
      <c r="K33" s="56"/>
      <c r="L33" s="35"/>
      <c r="M33" s="55"/>
      <c r="N33" s="56"/>
      <c r="O33" s="7"/>
    </row>
    <row r="34" spans="2:17" ht="6" customHeight="1" thickBot="1" x14ac:dyDescent="0.2">
      <c r="B34" s="2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15"/>
    </row>
    <row r="35" spans="2:17" ht="18" customHeight="1" x14ac:dyDescent="0.15">
      <c r="B35" s="32" t="s">
        <v>14</v>
      </c>
      <c r="C35" s="34"/>
      <c r="D35" s="53"/>
      <c r="E35" s="54"/>
      <c r="F35" s="34"/>
      <c r="G35" s="53"/>
      <c r="H35" s="54"/>
      <c r="I35" s="34"/>
      <c r="J35" s="53"/>
      <c r="K35" s="54"/>
      <c r="L35" s="34"/>
      <c r="M35" s="53"/>
      <c r="N35" s="54"/>
      <c r="O35" s="5"/>
      <c r="Q35" s="27">
        <f>8-COUNTIF(C35:C36,"")-COUNTIF(F35:F36,"")-COUNTIF(I35:I36,"")-COUNTIF(L35:L36,"")</f>
        <v>0</v>
      </c>
    </row>
    <row r="36" spans="2:17" ht="18" customHeight="1" thickBot="1" x14ac:dyDescent="0.2">
      <c r="B36" s="60" t="s">
        <v>13</v>
      </c>
      <c r="C36" s="35"/>
      <c r="D36" s="55"/>
      <c r="E36" s="56"/>
      <c r="F36" s="35"/>
      <c r="G36" s="55"/>
      <c r="H36" s="56"/>
      <c r="I36" s="35"/>
      <c r="J36" s="55"/>
      <c r="K36" s="56"/>
      <c r="L36" s="35"/>
      <c r="M36" s="55"/>
      <c r="N36" s="56"/>
      <c r="O36" s="7"/>
    </row>
    <row r="37" spans="2:17" ht="6" customHeight="1" thickBot="1" x14ac:dyDescent="0.2">
      <c r="B37" s="52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3"/>
    </row>
    <row r="38" spans="2:17" ht="18" customHeight="1" thickBot="1" x14ac:dyDescent="0.2">
      <c r="B38" s="22" t="s">
        <v>8</v>
      </c>
      <c r="C38" s="24">
        <v>0</v>
      </c>
      <c r="D38" s="25"/>
      <c r="E38" s="26"/>
      <c r="F38" s="24">
        <v>0</v>
      </c>
      <c r="G38" s="25"/>
      <c r="H38" s="26"/>
      <c r="I38" s="24">
        <v>0</v>
      </c>
      <c r="J38" s="25"/>
      <c r="K38" s="26"/>
      <c r="L38" s="24">
        <v>0</v>
      </c>
      <c r="M38" s="25"/>
      <c r="N38" s="26"/>
      <c r="O38" s="23">
        <f>Q38</f>
        <v>0</v>
      </c>
      <c r="Q38" s="27">
        <f>C38+F38+I38+L38</f>
        <v>0</v>
      </c>
    </row>
    <row r="39" spans="2:17" ht="6" customHeight="1" thickBot="1" x14ac:dyDescent="0.2">
      <c r="B39" s="2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5"/>
    </row>
    <row r="40" spans="2:17" ht="18" customHeight="1" x14ac:dyDescent="0.15">
      <c r="B40" s="32" t="s">
        <v>15</v>
      </c>
      <c r="C40" s="36"/>
      <c r="D40" s="37"/>
      <c r="E40" s="38"/>
      <c r="F40" s="36"/>
      <c r="G40" s="37"/>
      <c r="H40" s="38"/>
      <c r="I40" s="36"/>
      <c r="J40" s="37"/>
      <c r="K40" s="38"/>
      <c r="L40" s="36"/>
      <c r="M40" s="37"/>
      <c r="N40" s="38"/>
      <c r="O40" s="5"/>
      <c r="Q40" s="27">
        <f>8-COUNTIF(C40:C41,"")-COUNTIF(F40:F41,"")-COUNTIF(I40:I41,"")-COUNTIF(L40:L41,"")</f>
        <v>0</v>
      </c>
    </row>
    <row r="41" spans="2:17" ht="18" customHeight="1" thickBot="1" x14ac:dyDescent="0.2">
      <c r="B41" s="30" t="s">
        <v>16</v>
      </c>
      <c r="C41" s="40"/>
      <c r="D41" s="41"/>
      <c r="E41" s="42"/>
      <c r="F41" s="40"/>
      <c r="G41" s="41"/>
      <c r="H41" s="42"/>
      <c r="I41" s="40"/>
      <c r="J41" s="41"/>
      <c r="K41" s="42"/>
      <c r="L41" s="40"/>
      <c r="M41" s="41"/>
      <c r="N41" s="42"/>
      <c r="O41" s="7"/>
    </row>
    <row r="42" spans="2:17" ht="18" customHeight="1" x14ac:dyDescent="0.15"/>
    <row r="43" spans="2:17" ht="18" customHeight="1" x14ac:dyDescent="0.15"/>
    <row r="44" spans="2:17" ht="18" customHeight="1" x14ac:dyDescent="0.15"/>
    <row r="45" spans="2:17" ht="18" customHeight="1" x14ac:dyDescent="0.15"/>
    <row r="46" spans="2:17" ht="18" customHeight="1" x14ac:dyDescent="0.15">
      <c r="C46"/>
      <c r="F46"/>
      <c r="I46"/>
      <c r="L46"/>
    </row>
    <row r="47" spans="2:17" ht="18" customHeight="1" x14ac:dyDescent="0.15">
      <c r="C47"/>
    </row>
    <row r="48" spans="2:17" ht="18" customHeight="1" x14ac:dyDescent="0.15"/>
    <row r="49" ht="18" customHeight="1" x14ac:dyDescent="0.15"/>
    <row r="50" ht="18" customHeight="1" x14ac:dyDescent="0.15"/>
    <row r="51" ht="18" customHeight="1" x14ac:dyDescent="0.15"/>
    <row r="52" ht="18" customHeight="1" x14ac:dyDescent="0.15"/>
    <row r="53" ht="18" customHeight="1" x14ac:dyDescent="0.15"/>
    <row r="54" ht="18" customHeight="1" x14ac:dyDescent="0.15"/>
    <row r="55" ht="18" customHeight="1" x14ac:dyDescent="0.15"/>
    <row r="56" ht="18" customHeight="1" x14ac:dyDescent="0.15"/>
    <row r="57" ht="18" customHeight="1" x14ac:dyDescent="0.15"/>
    <row r="58" ht="18" customHeight="1" x14ac:dyDescent="0.15"/>
    <row r="59" ht="18" customHeight="1" x14ac:dyDescent="0.15"/>
    <row r="60" ht="18" customHeight="1" x14ac:dyDescent="0.15"/>
    <row r="61" ht="18" customHeight="1" x14ac:dyDescent="0.15"/>
    <row r="62" ht="18" customHeight="1" x14ac:dyDescent="0.15"/>
    <row r="63" ht="18" customHeight="1" x14ac:dyDescent="0.15"/>
    <row r="64" ht="18" customHeight="1" x14ac:dyDescent="0.15"/>
    <row r="65" ht="18" customHeight="1" x14ac:dyDescent="0.15"/>
    <row r="66" ht="18" customHeight="1" x14ac:dyDescent="0.15"/>
    <row r="67" ht="18" customHeight="1" x14ac:dyDescent="0.15"/>
    <row r="68" ht="18" customHeight="1" x14ac:dyDescent="0.15"/>
    <row r="69" ht="18" customHeight="1" x14ac:dyDescent="0.15"/>
    <row r="70" ht="18" customHeight="1" x14ac:dyDescent="0.15"/>
    <row r="71" ht="18" customHeight="1" x14ac:dyDescent="0.15"/>
    <row r="72" ht="18" customHeight="1" x14ac:dyDescent="0.15"/>
    <row r="73" ht="18" customHeight="1" x14ac:dyDescent="0.15"/>
    <row r="74" ht="18" customHeight="1" x14ac:dyDescent="0.15"/>
    <row r="75" ht="18" customHeight="1" x14ac:dyDescent="0.15"/>
    <row r="76" ht="18" customHeight="1" x14ac:dyDescent="0.15"/>
    <row r="77" ht="18" customHeight="1" x14ac:dyDescent="0.15"/>
    <row r="78" ht="18" customHeight="1" x14ac:dyDescent="0.15"/>
    <row r="79" ht="18" customHeight="1" x14ac:dyDescent="0.15"/>
    <row r="80" ht="18" customHeight="1" x14ac:dyDescent="0.15"/>
    <row r="81" ht="18" customHeight="1" x14ac:dyDescent="0.15"/>
    <row r="82" ht="18" customHeight="1" x14ac:dyDescent="0.15"/>
    <row r="83" ht="18" customHeight="1" x14ac:dyDescent="0.15"/>
    <row r="84" ht="18" customHeight="1" x14ac:dyDescent="0.15"/>
    <row r="85" ht="18" customHeight="1" x14ac:dyDescent="0.15"/>
    <row r="86" ht="18" customHeight="1" x14ac:dyDescent="0.15"/>
    <row r="87" ht="18" customHeight="1" x14ac:dyDescent="0.15"/>
    <row r="88" ht="18" customHeight="1" x14ac:dyDescent="0.15"/>
    <row r="89" ht="18" customHeight="1" x14ac:dyDescent="0.15"/>
    <row r="90" ht="18" customHeight="1" x14ac:dyDescent="0.15"/>
    <row r="91" ht="18" customHeight="1" x14ac:dyDescent="0.15"/>
    <row r="92" ht="18" customHeight="1" x14ac:dyDescent="0.15"/>
    <row r="93" ht="18" customHeight="1" x14ac:dyDescent="0.15"/>
    <row r="94" ht="18" customHeight="1" x14ac:dyDescent="0.15"/>
    <row r="95" ht="18" customHeight="1" x14ac:dyDescent="0.15"/>
    <row r="96" ht="18" customHeight="1" x14ac:dyDescent="0.15"/>
    <row r="97" ht="18" customHeight="1" x14ac:dyDescent="0.15"/>
  </sheetData>
  <dataConsolidate/>
  <phoneticPr fontId="1"/>
  <pageMargins left="0" right="0" top="0" bottom="0" header="0" footer="0"/>
  <pageSetup paperSize="9" scale="92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A8DD8-2D2A-4C48-AF7D-A983B536DC26}">
  <sheetPr codeName="Sheet1"/>
  <dimension ref="A2:F5"/>
  <sheetViews>
    <sheetView workbookViewId="0">
      <selection activeCell="E5" sqref="E5"/>
    </sheetView>
  </sheetViews>
  <sheetFormatPr defaultRowHeight="13.5" x14ac:dyDescent="0.15"/>
  <cols>
    <col min="1" max="1" width="149.5" bestFit="1" customWidth="1"/>
    <col min="2" max="2" width="8.375" bestFit="1" customWidth="1"/>
    <col min="4" max="4" width="13.875" bestFit="1" customWidth="1"/>
    <col min="5" max="5" width="10.875" style="63" bestFit="1" customWidth="1"/>
    <col min="6" max="6" width="13.875" bestFit="1" customWidth="1"/>
  </cols>
  <sheetData>
    <row r="2" spans="1:6" x14ac:dyDescent="0.15">
      <c r="A2" t="s">
        <v>27</v>
      </c>
      <c r="B2" t="s">
        <v>28</v>
      </c>
      <c r="C2">
        <v>1</v>
      </c>
      <c r="D2" s="61">
        <v>46203</v>
      </c>
      <c r="E2" s="62" t="s">
        <v>26</v>
      </c>
      <c r="F2" t="s">
        <v>25</v>
      </c>
    </row>
    <row r="3" spans="1:6" x14ac:dyDescent="0.15">
      <c r="A3" t="s">
        <v>29</v>
      </c>
      <c r="B3" t="s">
        <v>28</v>
      </c>
      <c r="C3">
        <v>1</v>
      </c>
      <c r="D3">
        <v>46203</v>
      </c>
      <c r="E3" s="63" t="s">
        <v>26</v>
      </c>
      <c r="F3" t="s">
        <v>25</v>
      </c>
    </row>
    <row r="4" spans="1:6" x14ac:dyDescent="0.15">
      <c r="A4" t="s">
        <v>30</v>
      </c>
      <c r="B4" t="s">
        <v>28</v>
      </c>
      <c r="C4">
        <v>1</v>
      </c>
      <c r="D4">
        <v>46203</v>
      </c>
      <c r="E4" s="63" t="s">
        <v>26</v>
      </c>
      <c r="F4" t="s">
        <v>25</v>
      </c>
    </row>
    <row r="5" spans="1:6" x14ac:dyDescent="0.15">
      <c r="A5" t="s">
        <v>31</v>
      </c>
      <c r="B5" t="s">
        <v>28</v>
      </c>
      <c r="C5">
        <v>1</v>
      </c>
      <c r="D5">
        <v>46203</v>
      </c>
      <c r="E5" s="63" t="s">
        <v>26</v>
      </c>
      <c r="F5" t="s">
        <v>25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daily</vt:lpstr>
      <vt:lpstr>data</vt:lpstr>
      <vt:lpstr>daily!Print_Area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今福 大介</dc:creator>
  <cp:lastModifiedBy>賢一 前田</cp:lastModifiedBy>
  <cp:lastPrinted>2026-05-19T07:22:40Z</cp:lastPrinted>
  <dcterms:created xsi:type="dcterms:W3CDTF">2022-02-28T00:13:44Z</dcterms:created>
  <dcterms:modified xsi:type="dcterms:W3CDTF">2026-06-30T06:37:01Z</dcterms:modified>
</cp:coreProperties>
</file>