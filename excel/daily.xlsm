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5C205517-4603-4421-AB0C-D1A1456C8E7D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6" l="1"/>
  <c r="N2" i="6"/>
  <c r="E2" i="6"/>
  <c r="D2" i="6"/>
  <c r="B2" i="6"/>
  <c r="S3" i="6"/>
  <c r="S1" i="6"/>
  <c r="S2" i="6" s="1"/>
  <c r="O38" i="6" l="1"/>
  <c r="Q38" i="6"/>
  <c r="Q22" i="6" l="1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<sst xmlns="http://schemas.openxmlformats.org/spreadsheetml/2006/main" count="38" uniqueCount="31">
  <si>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</si>
  <si>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</si>
  <si>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</si>
  <si>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</si>
  <si>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</si>
  <si>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</si>
  <si>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</si>
  <si>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</si>
  <si>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</si>
  <si>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</si>
  <si>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</si>
  <si>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</si>
  <si>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</si>
  <si>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</si>
  <si>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</si>
  <si>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</si>
  <si>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</si>
  <si>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</si>
  <si>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</si>
  <si>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</si>
  <si>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</si>
  <si>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</si>
  <si>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</si>
  <si>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</si>
  <si>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</si>
  <si>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前田 賢一</t>
  </si>
  <si>
    <t>1-6</t>
  </si>
  <si>
    <t>\\192.168.1.210\@isk\★部門\④製造管理部\★品質保証\改正検査書\改正検査書\工程内検査\★new\★自動機(工程内検査)\CAP0043 (BA0988) T-12 バネ有.xls</t>
  </si>
  <si>
    <t>D</t>
  </si>
  <si>
    <t>\\192.168.1.210\@isk\★部門\④製造管理部\★品質保証\改正検査書\改正検査書\工程内検査\★new\★自動機(工程内検査)\CAS0050 (BA0990) T-12 プレートH(4H).xls</t>
  </si>
  <si>
    <t>\\192.168.1.210\@isk\★部門\④製造管理部\★品質保証\改正検査書\改正検査書\工程内検査\★new\★自動機(工程内検査)\CDP0035 HR-290 着脱ホルダー(DG) 自動機Ver.2.xls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</si>
</sst>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E2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930610B5-3EF2-4B50-B2DF-2E42718A3C5B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'26.07.10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152400</xdr:rowOff>
    </xdr:from>
    <xdr:to>
      <xdr:col>8</xdr:col>
      <xdr:colOff>495300</xdr:colOff>
      <xdr:row>6</xdr:row>
      <xdr:rowOff>0</xdr:rowOff>
    </xdr:to>
    <xdr:sp macro="[0]!RunBatch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16649700" y="15240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J27" sqref="J27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TEXT(data!D2,"yyyy")&amp;"年  "&amp;TEXT(data!D2,"m")&amp;"月  "&amp;TEXT(data!D2,"d")&amp;"日"</f>
        <v>2026年  7月  10日</v>
      </c>
    </row>
    <row r="2" spans="2:22" ht="18" customHeight="1" thickBot="1" x14ac:dyDescent="0.2">
      <c r="B2" s="21">
        <f>YEAR(data!D2)</f>
        <v>2026</v>
      </c>
      <c r="C2" s="28" t="s">
        <v>7</v>
      </c>
      <c r="D2" s="28" t="str">
        <f>MONTH(data!D2)&amp;"月"</f>
        <v>7月</v>
      </c>
      <c r="E2" s="28" t="str">
        <f>DAY(data!D2)&amp;"日"</f>
        <v>10日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"&amp;data!F2</f>
        <v>担当　：　前田 賢一</v>
      </c>
      <c r="O2" s="20"/>
      <c r="S2" t="str">
        <f>"    "&amp;S1&amp;VLOOKUP(S4,U4:V7,2,0)</f>
        <v xml:space="preserve">    2026年  7月  10日　  8 ： 30　～　10 ： 00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"'"&amp;RIGHT(YEAR(data!D2),2)&amp;"."&amp;TEXT(MONTH(data!D2),"00")&amp;"."&amp;TEXT(DAY(data!D2),"00")</f>
        <v>'26.07.10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S4" s="27" t="s">
        <v>17</v>
      </c>
      <c r="U4" t="s">
        <v>17</v>
      </c>
      <c r="V4" t="s">
        <v>21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18</v>
      </c>
      <c r="V5" t="s">
        <v>22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19</v>
      </c>
      <c r="V6" t="s">
        <v>23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20</v>
      </c>
      <c r="V7" t="s">
        <v>24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>
        <f>Q26</f>
        <v>0</v>
      </c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2:F4"/>
  <sheetViews>
    <sheetView workbookViewId="0">
      <selection activeCell="B3" sqref="B3"/>
    </sheetView>
  </sheetViews>
  <sheetFormatPr defaultRowHeight="13.5" x14ac:dyDescent="0.15"/>
  <cols>
    <col min="1" max="1" width="149.5" bestFit="1" customWidth="1"/>
    <col min="2" max="2" width="8.375" bestFit="1" customWidth="1"/>
    <col min="4" max="4" width="13.875" bestFit="1" customWidth="1"/>
    <col min="5" max="5" width="10.875" style="63" bestFit="1" customWidth="1"/>
    <col min="6" max="6" width="13.875" bestFit="1" customWidth="1"/>
  </cols>
  <sheetData>
    <row r="2" spans="1:6" x14ac:dyDescent="0.15">
      <c r="A2" t="s">
        <v>27</v>
      </c>
      <c r="B2" t="s">
        <v>28</v>
      </c>
      <c r="C2">
        <v>1</v>
      </c>
      <c r="D2" s="61">
        <v>46213</v>
      </c>
      <c r="E2" s="62" t="s">
        <v>26</v>
      </c>
      <c r="F2" t="s">
        <v>25</v>
      </c>
    </row>
    <row r="3" spans="1:6" x14ac:dyDescent="0.15">
      <c r="A3" t="s">
        <v>29</v>
      </c>
      <c r="B3" t="s">
        <v>28</v>
      </c>
      <c r="C3">
        <v>1</v>
      </c>
      <c r="D3">
        <v>46213</v>
      </c>
      <c r="E3" s="63" t="s">
        <v>26</v>
      </c>
      <c r="F3" t="s">
        <v>25</v>
      </c>
    </row>
    <row r="4" spans="1:6" x14ac:dyDescent="0.15">
      <c r="A4" t="s">
        <v>30</v>
      </c>
      <c r="B4" t="s">
        <v>28</v>
      </c>
      <c r="C4">
        <v>1</v>
      </c>
      <c r="D4">
        <v>46213</v>
      </c>
      <c r="E4" s="63" t="s">
        <v>26</v>
      </c>
      <c r="F4" t="s">
        <v>25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2026-07-10T06:26:06Z</dcterms:modified>
</cp:coreProperties>
</file>